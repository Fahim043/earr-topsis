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80" windowWidth="14355" windowHeight="4620" tabRatio="932" activeTab="10"/>
  </bookViews>
  <sheets>
    <sheet name="Julgamentos DMs" sheetId="1" r:id="rId1"/>
    <sheet name="Agregados" sheetId="4" r:id="rId2"/>
    <sheet name="Método" sheetId="2" r:id="rId3"/>
    <sheet name="Agregados A+" sheetId="8" r:id="rId4"/>
    <sheet name="Método A+" sheetId="7" r:id="rId5"/>
    <sheet name="Agregados A-" sheetId="9" r:id="rId6"/>
    <sheet name="Método A-" sheetId="10" r:id="rId7"/>
    <sheet name="Agregados A3" sheetId="11" r:id="rId8"/>
    <sheet name="Método A3" sheetId="12" r:id="rId9"/>
    <sheet name="Agregados A1" sheetId="13" r:id="rId10"/>
    <sheet name="Método A1" sheetId="15" r:id="rId11"/>
  </sheets>
  <calcPr calcId="144525"/>
</workbook>
</file>

<file path=xl/calcChain.xml><?xml version="1.0" encoding="utf-8"?>
<calcChain xmlns="http://schemas.openxmlformats.org/spreadsheetml/2006/main">
  <c r="F24" i="15" l="1"/>
  <c r="E24" i="15"/>
  <c r="D24" i="15"/>
  <c r="C24" i="15"/>
  <c r="F16" i="15"/>
  <c r="E16" i="15"/>
  <c r="D16" i="15"/>
  <c r="C16" i="15"/>
  <c r="J8" i="15"/>
  <c r="I8" i="15"/>
  <c r="F21" i="15" s="1"/>
  <c r="F8" i="15"/>
  <c r="G8" i="15"/>
  <c r="E20" i="15" s="1"/>
  <c r="H8" i="15"/>
  <c r="E8" i="15"/>
  <c r="D8" i="15"/>
  <c r="C8" i="15"/>
  <c r="J4" i="15"/>
  <c r="I4" i="15"/>
  <c r="F4" i="15"/>
  <c r="D14" i="15" s="1"/>
  <c r="G4" i="15"/>
  <c r="E12" i="15" s="1"/>
  <c r="H4" i="15"/>
  <c r="E4" i="15"/>
  <c r="D4" i="15"/>
  <c r="C14" i="15" s="1"/>
  <c r="C4" i="15"/>
  <c r="F24" i="12"/>
  <c r="E24" i="12"/>
  <c r="D24" i="12"/>
  <c r="F16" i="12"/>
  <c r="E16" i="12"/>
  <c r="D16" i="12"/>
  <c r="D15" i="12"/>
  <c r="C14" i="12"/>
  <c r="F8" i="12"/>
  <c r="G8" i="12"/>
  <c r="E20" i="12" s="1"/>
  <c r="H8" i="12"/>
  <c r="E8" i="12"/>
  <c r="F4" i="12"/>
  <c r="G4" i="12"/>
  <c r="E12" i="12" s="1"/>
  <c r="H4" i="12"/>
  <c r="E4" i="12"/>
  <c r="C8" i="7"/>
  <c r="C24" i="12"/>
  <c r="C16" i="12"/>
  <c r="C15" i="7"/>
  <c r="F15" i="7"/>
  <c r="D8" i="12"/>
  <c r="I8" i="12"/>
  <c r="F21" i="12" s="1"/>
  <c r="J8" i="12"/>
  <c r="C8" i="12"/>
  <c r="C23" i="12" s="1"/>
  <c r="I4" i="12"/>
  <c r="J4" i="12"/>
  <c r="F12" i="12" s="1"/>
  <c r="D4" i="12"/>
  <c r="C4" i="12"/>
  <c r="D16" i="13"/>
  <c r="E16" i="13"/>
  <c r="F16" i="13"/>
  <c r="G16" i="13"/>
  <c r="H16" i="13"/>
  <c r="I16" i="13"/>
  <c r="J16" i="13"/>
  <c r="C16" i="13"/>
  <c r="D8" i="13"/>
  <c r="E8" i="13"/>
  <c r="F8" i="13"/>
  <c r="O8" i="13" s="1"/>
  <c r="G8" i="13"/>
  <c r="H8" i="13"/>
  <c r="I8" i="13"/>
  <c r="J8" i="13"/>
  <c r="T8" i="13" s="1"/>
  <c r="C8" i="13"/>
  <c r="D16" i="11"/>
  <c r="E16" i="11"/>
  <c r="F16" i="11"/>
  <c r="G16" i="11"/>
  <c r="H16" i="11"/>
  <c r="R8" i="11" s="1"/>
  <c r="I16" i="11"/>
  <c r="J16" i="11"/>
  <c r="C16" i="11"/>
  <c r="D8" i="11"/>
  <c r="E8" i="11"/>
  <c r="F8" i="11"/>
  <c r="G8" i="11"/>
  <c r="H8" i="11"/>
  <c r="I8" i="11"/>
  <c r="J8" i="11"/>
  <c r="T8" i="11" s="1"/>
  <c r="C8" i="11"/>
  <c r="M8" i="11" s="1"/>
  <c r="R8" i="13"/>
  <c r="Q8" i="13"/>
  <c r="N8" i="13"/>
  <c r="M8" i="13"/>
  <c r="T7" i="13"/>
  <c r="S7" i="13"/>
  <c r="R7" i="13"/>
  <c r="Q7" i="13"/>
  <c r="P7" i="13"/>
  <c r="O7" i="13"/>
  <c r="N7" i="13"/>
  <c r="M7" i="13"/>
  <c r="T6" i="13"/>
  <c r="S6" i="13"/>
  <c r="R6" i="13"/>
  <c r="Q6" i="13"/>
  <c r="P6" i="13"/>
  <c r="O6" i="13"/>
  <c r="N6" i="13"/>
  <c r="M6" i="13"/>
  <c r="T5" i="13"/>
  <c r="S5" i="13"/>
  <c r="R5" i="13"/>
  <c r="Q5" i="13"/>
  <c r="P5" i="13"/>
  <c r="O5" i="13"/>
  <c r="N5" i="13"/>
  <c r="M5" i="13"/>
  <c r="T4" i="13"/>
  <c r="S4" i="13"/>
  <c r="R4" i="13"/>
  <c r="Q4" i="13"/>
  <c r="P4" i="13"/>
  <c r="O4" i="13"/>
  <c r="N4" i="13"/>
  <c r="M4" i="13"/>
  <c r="Q8" i="11"/>
  <c r="T7" i="11"/>
  <c r="S7" i="11"/>
  <c r="R7" i="11"/>
  <c r="Q7" i="11"/>
  <c r="P7" i="11"/>
  <c r="O7" i="11"/>
  <c r="N7" i="11"/>
  <c r="M7" i="11"/>
  <c r="T6" i="11"/>
  <c r="S6" i="11"/>
  <c r="R6" i="11"/>
  <c r="Q6" i="11"/>
  <c r="P6" i="11"/>
  <c r="O6" i="11"/>
  <c r="N6" i="11"/>
  <c r="M6" i="11"/>
  <c r="T5" i="11"/>
  <c r="S5" i="11"/>
  <c r="R5" i="11"/>
  <c r="Q5" i="11"/>
  <c r="P5" i="11"/>
  <c r="O5" i="11"/>
  <c r="N5" i="11"/>
  <c r="M5" i="11"/>
  <c r="T4" i="11"/>
  <c r="S4" i="11"/>
  <c r="R4" i="11"/>
  <c r="Q4" i="11"/>
  <c r="P4" i="11"/>
  <c r="O4" i="11"/>
  <c r="N4" i="11"/>
  <c r="M4" i="11"/>
  <c r="D23" i="15" l="1"/>
  <c r="C23" i="15"/>
  <c r="F12" i="15"/>
  <c r="E14" i="15"/>
  <c r="G14" i="15" s="1"/>
  <c r="F20" i="15"/>
  <c r="E23" i="15"/>
  <c r="C13" i="15"/>
  <c r="F14" i="15"/>
  <c r="C22" i="15"/>
  <c r="F23" i="15"/>
  <c r="D13" i="15"/>
  <c r="D22" i="15"/>
  <c r="E13" i="15"/>
  <c r="C15" i="15"/>
  <c r="E22" i="15"/>
  <c r="C12" i="15"/>
  <c r="F13" i="15"/>
  <c r="D15" i="15"/>
  <c r="C21" i="15"/>
  <c r="F22" i="15"/>
  <c r="D12" i="15"/>
  <c r="E15" i="15"/>
  <c r="C20" i="15"/>
  <c r="D21" i="15"/>
  <c r="F15" i="15"/>
  <c r="D20" i="15"/>
  <c r="E21" i="15"/>
  <c r="D23" i="12"/>
  <c r="D14" i="12"/>
  <c r="P8" i="13"/>
  <c r="S8" i="13"/>
  <c r="P8" i="11"/>
  <c r="O8" i="11"/>
  <c r="S8" i="11"/>
  <c r="N8" i="11"/>
  <c r="E14" i="12"/>
  <c r="F20" i="12"/>
  <c r="E23" i="12"/>
  <c r="C13" i="12"/>
  <c r="F14" i="12"/>
  <c r="C22" i="12"/>
  <c r="F23" i="12"/>
  <c r="D13" i="12"/>
  <c r="D22" i="12"/>
  <c r="E13" i="12"/>
  <c r="C15" i="12"/>
  <c r="E22" i="12"/>
  <c r="G24" i="12"/>
  <c r="C12" i="12"/>
  <c r="F13" i="12"/>
  <c r="C21" i="12"/>
  <c r="F22" i="12"/>
  <c r="D12" i="12"/>
  <c r="E15" i="12"/>
  <c r="C20" i="12"/>
  <c r="D21" i="12"/>
  <c r="F15" i="12"/>
  <c r="D20" i="12"/>
  <c r="E21" i="12"/>
  <c r="F4" i="10"/>
  <c r="G4" i="10"/>
  <c r="H4" i="10"/>
  <c r="E4" i="10"/>
  <c r="F8" i="10"/>
  <c r="G8" i="10"/>
  <c r="H8" i="10"/>
  <c r="E8" i="10"/>
  <c r="D8" i="10"/>
  <c r="I8" i="10"/>
  <c r="J8" i="10"/>
  <c r="C8" i="10"/>
  <c r="D4" i="10"/>
  <c r="I4" i="10"/>
  <c r="J4" i="10"/>
  <c r="C4" i="10"/>
  <c r="F4" i="7"/>
  <c r="G4" i="7"/>
  <c r="H4" i="7"/>
  <c r="E4" i="7"/>
  <c r="F8" i="7"/>
  <c r="G8" i="7"/>
  <c r="H8" i="7"/>
  <c r="E8" i="7"/>
  <c r="J8" i="7"/>
  <c r="I8" i="7"/>
  <c r="D8" i="7"/>
  <c r="D4" i="7"/>
  <c r="I4" i="7"/>
  <c r="J4" i="7"/>
  <c r="C4" i="7"/>
  <c r="G23" i="15" l="1"/>
  <c r="G15" i="15"/>
  <c r="J19" i="15" s="1"/>
  <c r="G22" i="15"/>
  <c r="J18" i="15" s="1"/>
  <c r="G21" i="15"/>
  <c r="G13" i="15"/>
  <c r="G20" i="15"/>
  <c r="G12" i="15"/>
  <c r="G16" i="15"/>
  <c r="G24" i="15"/>
  <c r="G21" i="12"/>
  <c r="G14" i="12"/>
  <c r="J18" i="12" s="1"/>
  <c r="G23" i="12"/>
  <c r="G15" i="12"/>
  <c r="G13" i="12"/>
  <c r="G20" i="12"/>
  <c r="G12" i="12"/>
  <c r="G16" i="12"/>
  <c r="J20" i="12" s="1"/>
  <c r="G22" i="12"/>
  <c r="C23" i="10"/>
  <c r="F21" i="10"/>
  <c r="E21" i="10"/>
  <c r="E20" i="10"/>
  <c r="F15" i="10"/>
  <c r="C14" i="10"/>
  <c r="F12" i="10"/>
  <c r="E12" i="10"/>
  <c r="F20" i="10"/>
  <c r="E23" i="10"/>
  <c r="D23" i="10"/>
  <c r="C20" i="10"/>
  <c r="F13" i="10"/>
  <c r="E14" i="10"/>
  <c r="D12" i="10"/>
  <c r="T8" i="9"/>
  <c r="S8" i="9"/>
  <c r="R8" i="9"/>
  <c r="Q8" i="9"/>
  <c r="E24" i="10" s="1"/>
  <c r="P8" i="9"/>
  <c r="O8" i="9"/>
  <c r="D24" i="10" s="1"/>
  <c r="N8" i="9"/>
  <c r="M8" i="9"/>
  <c r="C24" i="10" s="1"/>
  <c r="T7" i="9"/>
  <c r="S7" i="9"/>
  <c r="R7" i="9"/>
  <c r="Q7" i="9"/>
  <c r="P7" i="9"/>
  <c r="O7" i="9"/>
  <c r="N7" i="9"/>
  <c r="M7" i="9"/>
  <c r="T6" i="9"/>
  <c r="S6" i="9"/>
  <c r="R6" i="9"/>
  <c r="Q6" i="9"/>
  <c r="P6" i="9"/>
  <c r="O6" i="9"/>
  <c r="N6" i="9"/>
  <c r="M6" i="9"/>
  <c r="T5" i="9"/>
  <c r="S5" i="9"/>
  <c r="R5" i="9"/>
  <c r="Q5" i="9"/>
  <c r="P5" i="9"/>
  <c r="O5" i="9"/>
  <c r="N5" i="9"/>
  <c r="M5" i="9"/>
  <c r="T4" i="9"/>
  <c r="S4" i="9"/>
  <c r="R4" i="9"/>
  <c r="Q4" i="9"/>
  <c r="P4" i="9"/>
  <c r="O4" i="9"/>
  <c r="N4" i="9"/>
  <c r="M4" i="9"/>
  <c r="F24" i="7"/>
  <c r="C24" i="7"/>
  <c r="F16" i="7"/>
  <c r="C16" i="7"/>
  <c r="M8" i="8"/>
  <c r="N8" i="8"/>
  <c r="O8" i="8"/>
  <c r="D24" i="7" s="1"/>
  <c r="P8" i="8"/>
  <c r="Q8" i="8"/>
  <c r="E24" i="7" s="1"/>
  <c r="R8" i="8"/>
  <c r="S8" i="8"/>
  <c r="T8" i="8"/>
  <c r="T7" i="8"/>
  <c r="S7" i="8"/>
  <c r="R7" i="8"/>
  <c r="Q7" i="8"/>
  <c r="P7" i="8"/>
  <c r="O7" i="8"/>
  <c r="N7" i="8"/>
  <c r="M7" i="8"/>
  <c r="T6" i="8"/>
  <c r="S6" i="8"/>
  <c r="R6" i="8"/>
  <c r="Q6" i="8"/>
  <c r="P6" i="8"/>
  <c r="O6" i="8"/>
  <c r="N6" i="8"/>
  <c r="M6" i="8"/>
  <c r="T5" i="8"/>
  <c r="S5" i="8"/>
  <c r="R5" i="8"/>
  <c r="Q5" i="8"/>
  <c r="P5" i="8"/>
  <c r="O5" i="8"/>
  <c r="N5" i="8"/>
  <c r="M5" i="8"/>
  <c r="T4" i="8"/>
  <c r="S4" i="8"/>
  <c r="R4" i="8"/>
  <c r="Q4" i="8"/>
  <c r="P4" i="8"/>
  <c r="O4" i="8"/>
  <c r="N4" i="8"/>
  <c r="M4" i="8"/>
  <c r="J20" i="15" l="1"/>
  <c r="J16" i="15"/>
  <c r="J17" i="15"/>
  <c r="J17" i="12"/>
  <c r="J19" i="12"/>
  <c r="J16" i="12"/>
  <c r="K16" i="12" s="1"/>
  <c r="F24" i="10"/>
  <c r="D16" i="7"/>
  <c r="E16" i="7"/>
  <c r="F16" i="10"/>
  <c r="E16" i="10"/>
  <c r="D16" i="10"/>
  <c r="C16" i="10"/>
  <c r="C13" i="10"/>
  <c r="F14" i="10"/>
  <c r="C22" i="10"/>
  <c r="F23" i="10"/>
  <c r="G23" i="10" s="1"/>
  <c r="D13" i="10"/>
  <c r="D22" i="10"/>
  <c r="E13" i="10"/>
  <c r="C15" i="10"/>
  <c r="E22" i="10"/>
  <c r="D20" i="10"/>
  <c r="G20" i="10" s="1"/>
  <c r="D14" i="10"/>
  <c r="C12" i="10"/>
  <c r="G12" i="10" s="1"/>
  <c r="D15" i="10"/>
  <c r="C21" i="10"/>
  <c r="F22" i="10"/>
  <c r="E15" i="10"/>
  <c r="D21" i="10"/>
  <c r="G24" i="7"/>
  <c r="G16" i="7"/>
  <c r="F20" i="7"/>
  <c r="E20" i="7"/>
  <c r="E23" i="7"/>
  <c r="D22" i="7"/>
  <c r="C22" i="7"/>
  <c r="C20" i="7"/>
  <c r="F14" i="7"/>
  <c r="E12" i="7"/>
  <c r="E13" i="7"/>
  <c r="D14" i="7"/>
  <c r="C13" i="7"/>
  <c r="H4" i="2"/>
  <c r="G4" i="2"/>
  <c r="F4" i="2"/>
  <c r="E4" i="2"/>
  <c r="H8" i="2"/>
  <c r="G8" i="2"/>
  <c r="F8" i="2"/>
  <c r="E8" i="2"/>
  <c r="K17" i="15" l="1"/>
  <c r="K18" i="15"/>
  <c r="K19" i="15"/>
  <c r="K16" i="15"/>
  <c r="K20" i="15"/>
  <c r="K18" i="12"/>
  <c r="K17" i="12"/>
  <c r="K19" i="12"/>
  <c r="K20" i="12"/>
  <c r="G21" i="10"/>
  <c r="J16" i="10"/>
  <c r="G14" i="10"/>
  <c r="G16" i="10"/>
  <c r="G15" i="10"/>
  <c r="J19" i="10" s="1"/>
  <c r="G22" i="10"/>
  <c r="G13" i="10"/>
  <c r="G24" i="10"/>
  <c r="J20" i="7"/>
  <c r="D13" i="7"/>
  <c r="F23" i="7"/>
  <c r="C12" i="7"/>
  <c r="F13" i="7"/>
  <c r="D15" i="7"/>
  <c r="E22" i="7"/>
  <c r="D12" i="7"/>
  <c r="E15" i="7"/>
  <c r="C21" i="7"/>
  <c r="F22" i="7"/>
  <c r="C14" i="7"/>
  <c r="G14" i="7" s="1"/>
  <c r="F12" i="7"/>
  <c r="E21" i="7"/>
  <c r="C23" i="7"/>
  <c r="D21" i="7"/>
  <c r="E14" i="7"/>
  <c r="F21" i="7"/>
  <c r="D23" i="7"/>
  <c r="D20" i="7"/>
  <c r="G20" i="7" s="1"/>
  <c r="M4" i="4"/>
  <c r="J17" i="10" l="1"/>
  <c r="J18" i="10"/>
  <c r="G12" i="7"/>
  <c r="J16" i="7" s="1"/>
  <c r="G22" i="7"/>
  <c r="J18" i="7" s="1"/>
  <c r="G13" i="7"/>
  <c r="G15" i="7"/>
  <c r="J20" i="10"/>
  <c r="G21" i="7"/>
  <c r="G23" i="7"/>
  <c r="J8" i="2"/>
  <c r="I8" i="2"/>
  <c r="D8" i="2"/>
  <c r="C8" i="2"/>
  <c r="J4" i="2"/>
  <c r="I4" i="2"/>
  <c r="D4" i="2"/>
  <c r="C4" i="2"/>
  <c r="K19" i="10" l="1"/>
  <c r="J17" i="7"/>
  <c r="J19" i="7"/>
  <c r="K17" i="10"/>
  <c r="K16" i="10"/>
  <c r="K18" i="10"/>
  <c r="K20" i="10"/>
  <c r="O4" i="4"/>
  <c r="K20" i="7" l="1"/>
  <c r="K17" i="7"/>
  <c r="K16" i="7"/>
  <c r="K18" i="7"/>
  <c r="K19" i="7"/>
  <c r="M5" i="4"/>
  <c r="N5" i="4"/>
  <c r="O5" i="4"/>
  <c r="P5" i="4"/>
  <c r="Q5" i="4"/>
  <c r="R5" i="4"/>
  <c r="S5" i="4"/>
  <c r="T5" i="4"/>
  <c r="M6" i="4"/>
  <c r="N6" i="4"/>
  <c r="O6" i="4"/>
  <c r="P6" i="4"/>
  <c r="Q6" i="4"/>
  <c r="R6" i="4"/>
  <c r="S6" i="4"/>
  <c r="T6" i="4"/>
  <c r="M7" i="4"/>
  <c r="N7" i="4"/>
  <c r="O7" i="4"/>
  <c r="P7" i="4"/>
  <c r="Q7" i="4"/>
  <c r="R7" i="4"/>
  <c r="S7" i="4"/>
  <c r="T7" i="4"/>
  <c r="T4" i="4"/>
  <c r="S4" i="4"/>
  <c r="R4" i="4"/>
  <c r="Q4" i="4"/>
  <c r="P4" i="4"/>
  <c r="N4" i="4"/>
  <c r="C12" i="2" l="1"/>
  <c r="E14" i="2"/>
  <c r="F12" i="2"/>
  <c r="F15" i="2"/>
  <c r="D23" i="2"/>
  <c r="D20" i="2"/>
  <c r="C20" i="2"/>
  <c r="D21" i="2"/>
  <c r="D14" i="2"/>
  <c r="F21" i="2"/>
  <c r="F22" i="2"/>
  <c r="F23" i="2"/>
  <c r="F20" i="2"/>
  <c r="E21" i="2"/>
  <c r="E22" i="2"/>
  <c r="E15" i="2"/>
  <c r="E12" i="2"/>
  <c r="D13" i="2"/>
  <c r="D22" i="2"/>
  <c r="D15" i="2"/>
  <c r="D12" i="2"/>
  <c r="C13" i="2"/>
  <c r="C14" i="2"/>
  <c r="E20" i="2" l="1"/>
  <c r="G20" i="2" s="1"/>
  <c r="C21" i="2"/>
  <c r="G21" i="2" s="1"/>
  <c r="G12" i="2"/>
  <c r="C22" i="2"/>
  <c r="G22" i="2" s="1"/>
  <c r="F14" i="2"/>
  <c r="G14" i="2" s="1"/>
  <c r="E23" i="2"/>
  <c r="E13" i="2"/>
  <c r="F13" i="2"/>
  <c r="C15" i="2"/>
  <c r="G15" i="2" s="1"/>
  <c r="C23" i="2"/>
  <c r="G23" i="2" l="1"/>
  <c r="J19" i="2" s="1"/>
  <c r="J16" i="2"/>
  <c r="J18" i="2"/>
  <c r="G13" i="2"/>
  <c r="J17" i="2" s="1"/>
  <c r="K16" i="2" l="1"/>
  <c r="K17" i="2"/>
  <c r="K18" i="2"/>
  <c r="K19" i="2"/>
</calcChain>
</file>

<file path=xl/sharedStrings.xml><?xml version="1.0" encoding="utf-8"?>
<sst xmlns="http://schemas.openxmlformats.org/spreadsheetml/2006/main" count="662" uniqueCount="70">
  <si>
    <t>DM1</t>
  </si>
  <si>
    <t>A1</t>
  </si>
  <si>
    <t>A2</t>
  </si>
  <si>
    <t>A3</t>
  </si>
  <si>
    <t>A4</t>
  </si>
  <si>
    <t>C1</t>
  </si>
  <si>
    <t>C2</t>
  </si>
  <si>
    <t>C3</t>
  </si>
  <si>
    <t>C4</t>
  </si>
  <si>
    <t>DM2</t>
  </si>
  <si>
    <r>
      <t>[s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</si>
  <si>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</si>
  <si>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</si>
  <si>
    <t/>
  </si>
  <si>
    <t>MIN</t>
  </si>
  <si>
    <t>MAX</t>
  </si>
  <si>
    <t>Agregado</t>
  </si>
  <si>
    <r>
      <t>s</t>
    </r>
    <r>
      <rPr>
        <vertAlign val="subscript"/>
        <sz val="11"/>
        <color theme="1"/>
        <rFont val="Calibri"/>
        <family val="2"/>
        <scheme val="minor"/>
      </rPr>
      <t>p1j</t>
    </r>
  </si>
  <si>
    <r>
      <t>s</t>
    </r>
    <r>
      <rPr>
        <vertAlign val="subscript"/>
        <sz val="11"/>
        <color theme="1"/>
        <rFont val="Calibri"/>
        <family val="2"/>
        <scheme val="minor"/>
      </rPr>
      <t>q1j</t>
    </r>
  </si>
  <si>
    <r>
      <t>s</t>
    </r>
    <r>
      <rPr>
        <vertAlign val="subscript"/>
        <sz val="11"/>
        <color theme="1"/>
        <rFont val="Calibri"/>
        <family val="2"/>
        <scheme val="minor"/>
      </rPr>
      <t>p2j</t>
    </r>
  </si>
  <si>
    <r>
      <t>s</t>
    </r>
    <r>
      <rPr>
        <vertAlign val="subscript"/>
        <sz val="11"/>
        <color theme="1"/>
        <rFont val="Calibri"/>
        <family val="2"/>
        <scheme val="minor"/>
      </rPr>
      <t>q2j</t>
    </r>
  </si>
  <si>
    <r>
      <t>s</t>
    </r>
    <r>
      <rPr>
        <vertAlign val="subscript"/>
        <sz val="11"/>
        <color theme="1"/>
        <rFont val="Calibri"/>
        <family val="2"/>
        <scheme val="minor"/>
      </rPr>
      <t>p3j</t>
    </r>
  </si>
  <si>
    <r>
      <t>s</t>
    </r>
    <r>
      <rPr>
        <vertAlign val="subscript"/>
        <sz val="11"/>
        <color theme="1"/>
        <rFont val="Calibri"/>
        <family val="2"/>
        <scheme val="minor"/>
      </rPr>
      <t>q3j</t>
    </r>
  </si>
  <si>
    <r>
      <t>s</t>
    </r>
    <r>
      <rPr>
        <vertAlign val="subscript"/>
        <sz val="11"/>
        <color theme="1"/>
        <rFont val="Calibri"/>
        <family val="2"/>
        <scheme val="minor"/>
      </rPr>
      <t>p4j</t>
    </r>
  </si>
  <si>
    <r>
      <t>s</t>
    </r>
    <r>
      <rPr>
        <vertAlign val="subscript"/>
        <sz val="11"/>
        <color theme="1"/>
        <rFont val="Calibri"/>
        <family val="2"/>
        <scheme val="minor"/>
      </rPr>
      <t>q4j</t>
    </r>
  </si>
  <si>
    <t>SIP</t>
  </si>
  <si>
    <t>SIN</t>
  </si>
  <si>
    <r>
      <t>Ã</t>
    </r>
    <r>
      <rPr>
        <vertAlign val="superscript"/>
        <sz val="11"/>
        <color theme="1"/>
        <rFont val="Calibri"/>
        <family val="2"/>
        <scheme val="minor"/>
      </rPr>
      <t>+</t>
    </r>
  </si>
  <si>
    <r>
      <t>Ã</t>
    </r>
    <r>
      <rPr>
        <vertAlign val="superscript"/>
        <sz val="11"/>
        <color theme="1"/>
        <rFont val="Calibri"/>
        <family val="2"/>
        <scheme val="minor"/>
      </rPr>
      <t>-</t>
    </r>
  </si>
  <si>
    <r>
      <t>v</t>
    </r>
    <r>
      <rPr>
        <vertAlign val="subscript"/>
        <sz val="11"/>
        <color theme="1"/>
        <rFont val="Calibri"/>
        <family val="2"/>
        <scheme val="minor"/>
      </rPr>
      <t>p1</t>
    </r>
  </si>
  <si>
    <r>
      <t>v</t>
    </r>
    <r>
      <rPr>
        <vertAlign val="subscript"/>
        <sz val="11"/>
        <color theme="1"/>
        <rFont val="Calibri"/>
        <family val="2"/>
        <scheme val="minor"/>
      </rPr>
      <t>q1</t>
    </r>
  </si>
  <si>
    <r>
      <t>v</t>
    </r>
    <r>
      <rPr>
        <vertAlign val="subscript"/>
        <sz val="11"/>
        <color theme="1"/>
        <rFont val="Calibri"/>
        <family val="2"/>
        <scheme val="minor"/>
      </rPr>
      <t>p2</t>
    </r>
  </si>
  <si>
    <r>
      <t>v</t>
    </r>
    <r>
      <rPr>
        <vertAlign val="subscript"/>
        <sz val="11"/>
        <color theme="1"/>
        <rFont val="Calibri"/>
        <family val="2"/>
        <scheme val="minor"/>
      </rPr>
      <t>q2</t>
    </r>
  </si>
  <si>
    <r>
      <t>v</t>
    </r>
    <r>
      <rPr>
        <vertAlign val="subscript"/>
        <sz val="11"/>
        <color theme="1"/>
        <rFont val="Calibri"/>
        <family val="2"/>
        <scheme val="minor"/>
      </rPr>
      <t>p3</t>
    </r>
  </si>
  <si>
    <r>
      <t>v</t>
    </r>
    <r>
      <rPr>
        <vertAlign val="subscript"/>
        <sz val="11"/>
        <color theme="1"/>
        <rFont val="Calibri"/>
        <family val="2"/>
        <scheme val="minor"/>
      </rPr>
      <t>q3</t>
    </r>
  </si>
  <si>
    <r>
      <t>v</t>
    </r>
    <r>
      <rPr>
        <vertAlign val="subscript"/>
        <sz val="11"/>
        <color theme="1"/>
        <rFont val="Calibri"/>
        <family val="2"/>
        <scheme val="minor"/>
      </rPr>
      <t>p4</t>
    </r>
  </si>
  <si>
    <r>
      <t>v</t>
    </r>
    <r>
      <rPr>
        <vertAlign val="subscript"/>
        <sz val="11"/>
        <color theme="1"/>
        <rFont val="Calibri"/>
        <family val="2"/>
        <scheme val="minor"/>
      </rPr>
      <t>q4</t>
    </r>
  </si>
  <si>
    <t>∑</t>
  </si>
  <si>
    <r>
      <t>d(x</t>
    </r>
    <r>
      <rPr>
        <vertAlign val="subscript"/>
        <sz val="11"/>
        <color theme="1"/>
        <rFont val="Calibri"/>
        <family val="2"/>
        <scheme val="minor"/>
      </rPr>
      <t>m1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</si>
  <si>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m3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</si>
  <si>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</t>
    </r>
  </si>
  <si>
    <r>
      <t>D</t>
    </r>
    <r>
      <rPr>
        <vertAlign val="superscript"/>
        <sz val="11"/>
        <color theme="1"/>
        <rFont val="Calibri"/>
        <family val="2"/>
        <scheme val="minor"/>
      </rPr>
      <t>+</t>
    </r>
  </si>
  <si>
    <r>
      <t>D</t>
    </r>
    <r>
      <rPr>
        <vertAlign val="superscript"/>
        <sz val="11"/>
        <color theme="1"/>
        <rFont val="Calibri"/>
        <family val="2"/>
        <scheme val="minor"/>
      </rPr>
      <t>-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</si>
  <si>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m1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</si>
  <si>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m3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</si>
  <si>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</si>
  <si>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r>
      <t>RC(A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</si>
  <si>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Nº</t>
  </si>
  <si>
    <t>Ranking</t>
  </si>
  <si>
    <r>
      <t>d(x</t>
    </r>
    <r>
      <rPr>
        <vertAlign val="subscript"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</t>
    </r>
  </si>
  <si>
    <r>
      <t>d(x</t>
    </r>
    <r>
      <rPr>
        <vertAlign val="subscript"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, Ṽ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</si>
  <si>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t>IR</t>
  </si>
  <si>
    <t>PR</t>
  </si>
  <si>
    <t>PI</t>
  </si>
  <si>
    <t>I</t>
  </si>
  <si>
    <t>MI</t>
  </si>
  <si>
    <t>QI</t>
  </si>
  <si>
    <t>IM</t>
  </si>
  <si>
    <t>Entre I e MI</t>
  </si>
  <si>
    <t>Entre MI e QI</t>
  </si>
  <si>
    <t>Entre QI e IM</t>
  </si>
  <si>
    <t>Entre PI e I</t>
  </si>
  <si>
    <r>
      <t>[s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</si>
  <si>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</si>
  <si>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</si>
  <si>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</si>
  <si>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</si>
  <si>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A5</t>
  </si>
  <si>
    <t>A5=A3</t>
  </si>
  <si>
    <t>A5=A1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</si>
</sst>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5" xfId="0" applyBorder="1"/>
    <xf numFmtId="0" fontId="0" fillId="0" borderId="7" xfId="0" applyBorder="1"/>
    <xf numFmtId="0" fontId="0" fillId="3" borderId="1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3" borderId="1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Fill="1" applyBorder="1"/>
    <xf numFmtId="0" fontId="0" fillId="0" borderId="0" xfId="0" applyFill="1"/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12" xfId="0" applyFill="1" applyBorder="1"/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21"/>
  <sheetViews>
    <sheetView zoomScale="145" zoomScaleNormal="145" workbookViewId="0">
      <selection activeCell="Q10" sqref="Q10"/>
    </sheetView>
  </sheetViews>
  <sheetFormatPr defaultRowHeight="15" x14ac:dyDescent="0.25"/>
  <cols>
    <col min="3" max="4" width="14.140625" bestFit="1" customWidth="1"/>
    <col min="5" max="6" width="14.5703125" bestFit="1" customWidth="1"/>
  </cols>
  <sheetData>
    <row r="1" spans="2:16" ht="15.75" thickBot="1" x14ac:dyDescent="0.3"/>
    <row r="2" spans="2:16" x14ac:dyDescent="0.25">
      <c r="B2" s="18" t="s">
        <v>0</v>
      </c>
      <c r="C2" s="16" t="s">
        <v>5</v>
      </c>
      <c r="D2" s="16" t="s">
        <v>6</v>
      </c>
      <c r="E2" s="16" t="s">
        <v>7</v>
      </c>
      <c r="F2" s="17" t="s">
        <v>8</v>
      </c>
      <c r="H2" s="18" t="s">
        <v>0</v>
      </c>
      <c r="I2" s="16" t="s">
        <v>5</v>
      </c>
      <c r="J2" s="16" t="s">
        <v>6</v>
      </c>
      <c r="K2" s="16" t="s">
        <v>7</v>
      </c>
      <c r="L2" s="17" t="s">
        <v>8</v>
      </c>
    </row>
    <row r="3" spans="2:16" ht="18" x14ac:dyDescent="0.35">
      <c r="B3" s="1" t="s">
        <v>1</v>
      </c>
      <c r="C3" s="3" t="s">
        <v>55</v>
      </c>
      <c r="D3" s="3" t="s">
        <v>57</v>
      </c>
      <c r="E3" s="3" t="s">
        <v>55</v>
      </c>
      <c r="F3" s="4" t="s">
        <v>54</v>
      </c>
      <c r="H3" s="1" t="s">
        <v>1</v>
      </c>
      <c r="I3" s="3" t="s">
        <v>63</v>
      </c>
      <c r="J3" s="3" t="s">
        <v>12</v>
      </c>
      <c r="K3" s="3" t="s">
        <v>63</v>
      </c>
      <c r="L3" s="3" t="s">
        <v>62</v>
      </c>
      <c r="N3" s="14"/>
      <c r="O3" s="14"/>
      <c r="P3" s="14"/>
    </row>
    <row r="4" spans="2:16" ht="18" x14ac:dyDescent="0.35">
      <c r="B4" s="1" t="s">
        <v>2</v>
      </c>
      <c r="C4" s="3" t="s">
        <v>56</v>
      </c>
      <c r="D4" s="3" t="s">
        <v>56</v>
      </c>
      <c r="E4" s="3" t="s">
        <v>57</v>
      </c>
      <c r="F4" s="4" t="s">
        <v>57</v>
      </c>
      <c r="H4" s="1" t="s">
        <v>2</v>
      </c>
      <c r="I4" s="3" t="s">
        <v>64</v>
      </c>
      <c r="J4" s="3" t="s">
        <v>64</v>
      </c>
      <c r="K4" s="3" t="s">
        <v>12</v>
      </c>
      <c r="L4" s="3" t="s">
        <v>12</v>
      </c>
    </row>
    <row r="5" spans="2:16" ht="18" x14ac:dyDescent="0.35">
      <c r="B5" s="1" t="s">
        <v>3</v>
      </c>
      <c r="C5" s="3" t="s">
        <v>57</v>
      </c>
      <c r="D5" s="3" t="s">
        <v>55</v>
      </c>
      <c r="E5" s="3" t="s">
        <v>56</v>
      </c>
      <c r="F5" s="4" t="s">
        <v>55</v>
      </c>
      <c r="H5" s="1" t="s">
        <v>3</v>
      </c>
      <c r="I5" s="3" t="s">
        <v>12</v>
      </c>
      <c r="J5" s="3" t="s">
        <v>63</v>
      </c>
      <c r="K5" s="3" t="s">
        <v>64</v>
      </c>
      <c r="L5" s="3" t="s">
        <v>63</v>
      </c>
    </row>
    <row r="6" spans="2:16" ht="18" x14ac:dyDescent="0.35">
      <c r="B6" s="1" t="s">
        <v>4</v>
      </c>
      <c r="C6" s="3" t="s">
        <v>55</v>
      </c>
      <c r="D6" s="3" t="s">
        <v>56</v>
      </c>
      <c r="E6" s="3" t="s">
        <v>55</v>
      </c>
      <c r="F6" s="4" t="s">
        <v>54</v>
      </c>
      <c r="H6" s="1" t="s">
        <v>4</v>
      </c>
      <c r="I6" s="3" t="s">
        <v>63</v>
      </c>
      <c r="J6" s="3" t="s">
        <v>64</v>
      </c>
      <c r="K6" s="3" t="s">
        <v>63</v>
      </c>
      <c r="L6" s="3" t="s">
        <v>62</v>
      </c>
    </row>
    <row r="7" spans="2:16" ht="15.75" thickBot="1" x14ac:dyDescent="0.3"/>
    <row r="8" spans="2:16" x14ac:dyDescent="0.25">
      <c r="B8" s="18" t="s">
        <v>9</v>
      </c>
      <c r="C8" s="16" t="s">
        <v>5</v>
      </c>
      <c r="D8" s="16" t="s">
        <v>6</v>
      </c>
      <c r="E8" s="16" t="s">
        <v>7</v>
      </c>
      <c r="F8" s="17" t="s">
        <v>8</v>
      </c>
      <c r="H8" s="18" t="s">
        <v>9</v>
      </c>
      <c r="I8" s="16" t="s">
        <v>5</v>
      </c>
      <c r="J8" s="16" t="s">
        <v>6</v>
      </c>
      <c r="K8" s="16" t="s">
        <v>7</v>
      </c>
      <c r="L8" s="17" t="s">
        <v>8</v>
      </c>
    </row>
    <row r="9" spans="2:16" ht="18" x14ac:dyDescent="0.35">
      <c r="B9" s="1" t="s">
        <v>1</v>
      </c>
      <c r="C9" s="3" t="s">
        <v>58</v>
      </c>
      <c r="D9" s="3" t="s">
        <v>60</v>
      </c>
      <c r="E9" s="3" t="s">
        <v>58</v>
      </c>
      <c r="F9" s="4" t="s">
        <v>61</v>
      </c>
      <c r="H9" s="1" t="s">
        <v>1</v>
      </c>
      <c r="I9" s="3" t="s">
        <v>10</v>
      </c>
      <c r="J9" s="3" t="s">
        <v>11</v>
      </c>
      <c r="K9" s="3" t="s">
        <v>10</v>
      </c>
      <c r="L9" s="3" t="s">
        <v>66</v>
      </c>
      <c r="P9" s="7"/>
    </row>
    <row r="10" spans="2:16" ht="18" x14ac:dyDescent="0.35">
      <c r="B10" s="1" t="s">
        <v>2</v>
      </c>
      <c r="C10" s="3" t="s">
        <v>59</v>
      </c>
      <c r="D10" s="3" t="s">
        <v>59</v>
      </c>
      <c r="E10" s="3" t="s">
        <v>60</v>
      </c>
      <c r="F10" s="4" t="s">
        <v>60</v>
      </c>
      <c r="H10" s="1" t="s">
        <v>2</v>
      </c>
      <c r="I10" s="3" t="s">
        <v>65</v>
      </c>
      <c r="J10" s="3" t="s">
        <v>65</v>
      </c>
      <c r="K10" s="3" t="s">
        <v>11</v>
      </c>
      <c r="L10" s="3" t="s">
        <v>11</v>
      </c>
    </row>
    <row r="11" spans="2:16" ht="18" x14ac:dyDescent="0.35">
      <c r="B11" s="1" t="s">
        <v>3</v>
      </c>
      <c r="C11" s="3" t="s">
        <v>60</v>
      </c>
      <c r="D11" s="3" t="s">
        <v>58</v>
      </c>
      <c r="E11" s="3" t="s">
        <v>60</v>
      </c>
      <c r="F11" s="4" t="s">
        <v>59</v>
      </c>
      <c r="H11" s="1" t="s">
        <v>3</v>
      </c>
      <c r="I11" s="3" t="s">
        <v>11</v>
      </c>
      <c r="J11" s="3" t="s">
        <v>10</v>
      </c>
      <c r="K11" s="3" t="s">
        <v>11</v>
      </c>
      <c r="L11" s="3" t="s">
        <v>65</v>
      </c>
    </row>
    <row r="12" spans="2:16" ht="18" x14ac:dyDescent="0.35">
      <c r="B12" s="1" t="s">
        <v>4</v>
      </c>
      <c r="C12" s="3" t="s">
        <v>60</v>
      </c>
      <c r="D12" s="3" t="s">
        <v>55</v>
      </c>
      <c r="E12" s="3" t="s">
        <v>58</v>
      </c>
      <c r="F12" s="4" t="s">
        <v>56</v>
      </c>
      <c r="H12" s="1" t="s">
        <v>4</v>
      </c>
      <c r="I12" s="3" t="s">
        <v>11</v>
      </c>
      <c r="J12" s="3" t="s">
        <v>63</v>
      </c>
      <c r="K12" s="3" t="s">
        <v>10</v>
      </c>
      <c r="L12" s="3" t="s">
        <v>64</v>
      </c>
    </row>
    <row r="13" spans="2:16" x14ac:dyDescent="0.25">
      <c r="B13" s="19"/>
      <c r="C13" s="14"/>
      <c r="D13" s="14"/>
      <c r="E13" s="14"/>
      <c r="F13" s="14"/>
      <c r="G13" s="27"/>
      <c r="H13" s="14"/>
      <c r="I13" s="14"/>
      <c r="J13" s="14"/>
      <c r="K13" s="14"/>
      <c r="L13" s="14"/>
      <c r="M13" s="27"/>
    </row>
    <row r="14" spans="2:16" x14ac:dyDescent="0.25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O14" s="7" t="s">
        <v>13</v>
      </c>
    </row>
    <row r="15" spans="2:16" x14ac:dyDescent="0.25">
      <c r="D15" s="13"/>
      <c r="E15" s="13"/>
      <c r="F15" s="13"/>
      <c r="G15" s="20" t="s">
        <v>51</v>
      </c>
      <c r="H15" s="22">
        <v>0</v>
      </c>
      <c r="I15" s="13"/>
      <c r="J15" s="13"/>
      <c r="K15" s="13"/>
      <c r="L15" s="13"/>
    </row>
    <row r="16" spans="2:16" x14ac:dyDescent="0.25">
      <c r="D16" s="14"/>
      <c r="E16" s="14"/>
      <c r="F16" s="14"/>
      <c r="G16" s="20" t="s">
        <v>52</v>
      </c>
      <c r="H16" s="14">
        <v>1</v>
      </c>
      <c r="I16" s="14"/>
      <c r="J16" s="14"/>
      <c r="K16" s="14"/>
      <c r="L16" s="14"/>
    </row>
    <row r="17" spans="4:12" x14ac:dyDescent="0.25">
      <c r="D17" s="14"/>
      <c r="E17" s="14"/>
      <c r="F17" s="14"/>
      <c r="G17" s="20" t="s">
        <v>53</v>
      </c>
      <c r="H17" s="14">
        <v>2</v>
      </c>
      <c r="I17" s="14"/>
      <c r="J17" s="14"/>
      <c r="K17" s="14"/>
      <c r="L17" s="14"/>
    </row>
    <row r="18" spans="4:12" x14ac:dyDescent="0.25">
      <c r="D18" s="14"/>
      <c r="E18" s="14"/>
      <c r="F18" s="14"/>
      <c r="G18" s="20" t="s">
        <v>54</v>
      </c>
      <c r="H18" s="14">
        <v>3</v>
      </c>
      <c r="I18" s="14"/>
      <c r="J18" s="14"/>
      <c r="K18" s="14"/>
      <c r="L18" s="14"/>
    </row>
    <row r="19" spans="4:12" x14ac:dyDescent="0.25">
      <c r="D19" s="14"/>
      <c r="E19" s="14"/>
      <c r="F19" s="14"/>
      <c r="G19" s="20" t="s">
        <v>55</v>
      </c>
      <c r="H19" s="14">
        <v>4</v>
      </c>
      <c r="I19" s="14"/>
      <c r="J19" s="14"/>
      <c r="K19" s="14"/>
      <c r="L19" s="14"/>
    </row>
    <row r="20" spans="4:12" x14ac:dyDescent="0.25">
      <c r="D20" s="14"/>
      <c r="E20" s="14"/>
      <c r="F20" s="14"/>
      <c r="G20" s="20" t="s">
        <v>56</v>
      </c>
      <c r="H20" s="14">
        <v>5</v>
      </c>
      <c r="I20" s="14"/>
      <c r="J20" s="14"/>
      <c r="K20" s="14"/>
      <c r="L20" s="14"/>
    </row>
    <row r="21" spans="4:12" x14ac:dyDescent="0.25">
      <c r="G21" s="20" t="s">
        <v>57</v>
      </c>
      <c r="H21" s="14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T22"/>
  <sheetViews>
    <sheetView zoomScale="130" zoomScaleNormal="130" workbookViewId="0">
      <selection activeCell="P8" sqref="P8"/>
    </sheetView>
  </sheetViews>
  <sheetFormatPr defaultRowHeight="15" x14ac:dyDescent="0.25"/>
  <sheetData>
    <row r="1" spans="2:20" ht="15.75" thickBot="1" x14ac:dyDescent="0.3"/>
    <row r="2" spans="2:20" x14ac:dyDescent="0.25">
      <c r="B2" s="36" t="s">
        <v>0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  <c r="L2" s="36" t="s">
        <v>16</v>
      </c>
      <c r="M2" s="34" t="s">
        <v>5</v>
      </c>
      <c r="N2" s="34"/>
      <c r="O2" s="34" t="s">
        <v>6</v>
      </c>
      <c r="P2" s="34"/>
      <c r="Q2" s="34" t="s">
        <v>7</v>
      </c>
      <c r="R2" s="34"/>
      <c r="S2" s="34" t="s">
        <v>8</v>
      </c>
      <c r="T2" s="35"/>
    </row>
    <row r="3" spans="2:20" ht="18" x14ac:dyDescent="0.35">
      <c r="B3" s="37"/>
      <c r="C3" s="8" t="s">
        <v>14</v>
      </c>
      <c r="D3" s="8" t="s">
        <v>15</v>
      </c>
      <c r="E3" s="8" t="s">
        <v>14</v>
      </c>
      <c r="F3" s="8" t="s">
        <v>15</v>
      </c>
      <c r="G3" s="8" t="s">
        <v>14</v>
      </c>
      <c r="H3" s="8" t="s">
        <v>15</v>
      </c>
      <c r="I3" s="8" t="s">
        <v>14</v>
      </c>
      <c r="J3" s="9" t="s">
        <v>15</v>
      </c>
      <c r="L3" s="37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1" t="s">
        <v>24</v>
      </c>
    </row>
    <row r="4" spans="2:20" x14ac:dyDescent="0.25">
      <c r="B4" s="1" t="s">
        <v>1</v>
      </c>
      <c r="C4" s="3">
        <v>4</v>
      </c>
      <c r="D4" s="3">
        <v>4</v>
      </c>
      <c r="E4" s="3">
        <v>6</v>
      </c>
      <c r="F4" s="3">
        <v>6</v>
      </c>
      <c r="G4" s="3">
        <v>4</v>
      </c>
      <c r="H4" s="3">
        <v>4</v>
      </c>
      <c r="I4" s="3">
        <v>3</v>
      </c>
      <c r="J4" s="4">
        <v>3</v>
      </c>
      <c r="L4" s="1" t="s">
        <v>1</v>
      </c>
      <c r="M4" s="3">
        <f>MIN(MIN(D4,D11),MAX(C4,C11))</f>
        <v>4</v>
      </c>
      <c r="N4" s="3">
        <f>MAX(MIN(D4,D11),MAX(C4,C11))</f>
        <v>4</v>
      </c>
      <c r="O4" s="3">
        <f>MIN(MIN(F4,F11),MAX(E4,E11))</f>
        <v>6</v>
      </c>
      <c r="P4" s="3">
        <f>MAX(MIN(F4,F11),MAX(E4,E11))</f>
        <v>6</v>
      </c>
      <c r="Q4" s="3">
        <f>MIN(MIN(H4,H11),MAX(G4,G11))</f>
        <v>4</v>
      </c>
      <c r="R4" s="3">
        <f>MAX(MIN(H4,H11),MAX(G4,G11))</f>
        <v>4</v>
      </c>
      <c r="S4" s="3">
        <f>MIN(MIN(J4,J11),MAX(I4,I11))</f>
        <v>3</v>
      </c>
      <c r="T4" s="4">
        <f>MAX(MIN(J4,J11),MAX(I4,I11))</f>
        <v>3</v>
      </c>
    </row>
    <row r="5" spans="2:20" x14ac:dyDescent="0.25">
      <c r="B5" s="1" t="s">
        <v>2</v>
      </c>
      <c r="C5" s="3">
        <v>5</v>
      </c>
      <c r="D5" s="3">
        <v>5</v>
      </c>
      <c r="E5" s="3">
        <v>5</v>
      </c>
      <c r="F5" s="3">
        <v>5</v>
      </c>
      <c r="G5" s="3">
        <v>6</v>
      </c>
      <c r="H5" s="3">
        <v>6</v>
      </c>
      <c r="I5" s="3">
        <v>6</v>
      </c>
      <c r="J5" s="4">
        <v>6</v>
      </c>
      <c r="L5" s="1" t="s">
        <v>2</v>
      </c>
      <c r="M5" s="3">
        <f>MIN(MIN(D5,D12),MAX(C5,C12))</f>
        <v>5</v>
      </c>
      <c r="N5" s="3">
        <f>MAX(MIN(D5,D12),MAX(C5,C12))</f>
        <v>5</v>
      </c>
      <c r="O5" s="3">
        <f>MIN(MIN(F5,F12),MAX(E5,E12))</f>
        <v>5</v>
      </c>
      <c r="P5" s="3">
        <f>MAX(MIN(F5,F12),MAX(E5,E12))</f>
        <v>5</v>
      </c>
      <c r="Q5" s="3">
        <f>MIN(MIN(H5,H12),MAX(G5,G12))</f>
        <v>6</v>
      </c>
      <c r="R5" s="3">
        <f>MAX(MIN(H5,H12),MAX(G5,G12))</f>
        <v>6</v>
      </c>
      <c r="S5" s="3">
        <f>MIN(MIN(J5,J12),MAX(I5,I12))</f>
        <v>6</v>
      </c>
      <c r="T5" s="4">
        <f>MAX(MIN(J5,J12),MAX(I5,I12))</f>
        <v>6</v>
      </c>
    </row>
    <row r="6" spans="2:20" x14ac:dyDescent="0.25">
      <c r="B6" s="1" t="s">
        <v>3</v>
      </c>
      <c r="C6" s="3">
        <v>6</v>
      </c>
      <c r="D6" s="3">
        <v>6</v>
      </c>
      <c r="E6" s="3">
        <v>4</v>
      </c>
      <c r="F6" s="3">
        <v>4</v>
      </c>
      <c r="G6" s="3">
        <v>5</v>
      </c>
      <c r="H6" s="3">
        <v>5</v>
      </c>
      <c r="I6" s="3">
        <v>4</v>
      </c>
      <c r="J6" s="4">
        <v>4</v>
      </c>
      <c r="L6" s="1" t="s">
        <v>3</v>
      </c>
      <c r="M6" s="3">
        <f>MIN(MIN(D6,D13),MAX(C6,C13))</f>
        <v>6</v>
      </c>
      <c r="N6" s="3">
        <f>MAX(MIN(D6,D13),MAX(C6,C13))</f>
        <v>6</v>
      </c>
      <c r="O6" s="3">
        <f>MIN(MIN(F6,F13),MAX(E6,E13))</f>
        <v>4</v>
      </c>
      <c r="P6" s="3">
        <f>MAX(MIN(F6,F13),MAX(E6,E13))</f>
        <v>4</v>
      </c>
      <c r="Q6" s="3">
        <f>MIN(MIN(H6,H13),MAX(G6,G13))</f>
        <v>5</v>
      </c>
      <c r="R6" s="3">
        <f>MAX(MIN(H6,H13),MAX(G6,G13))</f>
        <v>5</v>
      </c>
      <c r="S6" s="3">
        <f>MIN(MIN(J6,J13),MAX(I6,I13))</f>
        <v>4</v>
      </c>
      <c r="T6" s="4">
        <f>MAX(MIN(J6,J13),MAX(I6,I13))</f>
        <v>4</v>
      </c>
    </row>
    <row r="7" spans="2:20" x14ac:dyDescent="0.25">
      <c r="B7" s="1" t="s">
        <v>4</v>
      </c>
      <c r="C7" s="3">
        <v>4</v>
      </c>
      <c r="D7" s="3">
        <v>4</v>
      </c>
      <c r="E7" s="3">
        <v>5</v>
      </c>
      <c r="F7" s="3">
        <v>5</v>
      </c>
      <c r="G7" s="3">
        <v>4</v>
      </c>
      <c r="H7" s="3">
        <v>4</v>
      </c>
      <c r="I7" s="3">
        <v>3</v>
      </c>
      <c r="J7" s="4">
        <v>3</v>
      </c>
      <c r="L7" s="1" t="s">
        <v>4</v>
      </c>
      <c r="M7" s="3">
        <f>MIN(MIN(D7,D14),MAX(C7,C14))</f>
        <v>4</v>
      </c>
      <c r="N7" s="3">
        <f>MAX(MIN(D7,D14),MAX(C7,C14))</f>
        <v>5</v>
      </c>
      <c r="O7" s="3">
        <f>MIN(MIN(F7,F14),MAX(E7,E14))</f>
        <v>4</v>
      </c>
      <c r="P7" s="3">
        <f>MAX(MIN(F7,F14),MAX(E7,E14))</f>
        <v>5</v>
      </c>
      <c r="Q7" s="3">
        <f>MIN(MIN(H7,H14),MAX(G7,G14))</f>
        <v>4</v>
      </c>
      <c r="R7" s="3">
        <f>MAX(MIN(H7,H14),MAX(G7,G14))</f>
        <v>4</v>
      </c>
      <c r="S7" s="3">
        <f>MIN(MIN(J7,J14),MAX(I7,I14))</f>
        <v>3</v>
      </c>
      <c r="T7" s="4">
        <f>MAX(MIN(J7,J14),MAX(I7,I14))</f>
        <v>5</v>
      </c>
    </row>
    <row r="8" spans="2:20" ht="15.75" thickBot="1" x14ac:dyDescent="0.3"/>
    <row r="9" spans="2:20" x14ac:dyDescent="0.25">
      <c r="B9" s="36" t="s">
        <v>9</v>
      </c>
      <c r="C9" s="34" t="s">
        <v>5</v>
      </c>
      <c r="D9" s="34"/>
      <c r="E9" s="34" t="s">
        <v>6</v>
      </c>
      <c r="F9" s="34"/>
      <c r="G9" s="34" t="s">
        <v>7</v>
      </c>
      <c r="H9" s="34"/>
      <c r="I9" s="34" t="s">
        <v>8</v>
      </c>
      <c r="J9" s="35"/>
    </row>
    <row r="10" spans="2:20" x14ac:dyDescent="0.25">
      <c r="B10" s="37"/>
      <c r="C10" s="8" t="s">
        <v>14</v>
      </c>
      <c r="D10" s="8" t="s">
        <v>15</v>
      </c>
      <c r="E10" s="8" t="s">
        <v>14</v>
      </c>
      <c r="F10" s="8" t="s">
        <v>15</v>
      </c>
      <c r="G10" s="8" t="s">
        <v>14</v>
      </c>
      <c r="H10" s="8" t="s">
        <v>15</v>
      </c>
      <c r="I10" s="8" t="s">
        <v>14</v>
      </c>
      <c r="J10" s="9" t="s">
        <v>15</v>
      </c>
    </row>
    <row r="11" spans="2:20" x14ac:dyDescent="0.25">
      <c r="B11" s="1" t="s">
        <v>1</v>
      </c>
      <c r="C11" s="3">
        <v>3</v>
      </c>
      <c r="D11" s="3">
        <v>4</v>
      </c>
      <c r="E11" s="3">
        <v>5</v>
      </c>
      <c r="F11" s="3">
        <v>6</v>
      </c>
      <c r="G11" s="3">
        <v>3</v>
      </c>
      <c r="H11" s="3">
        <v>4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4</v>
      </c>
      <c r="F12" s="3">
        <v>5</v>
      </c>
      <c r="G12" s="3">
        <v>5</v>
      </c>
      <c r="H12" s="3">
        <v>6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3</v>
      </c>
      <c r="F13" s="3">
        <v>4</v>
      </c>
      <c r="G13" s="3">
        <v>5</v>
      </c>
      <c r="H13" s="3">
        <v>6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4</v>
      </c>
      <c r="F14" s="3">
        <v>4</v>
      </c>
      <c r="G14" s="3">
        <v>3</v>
      </c>
      <c r="H14" s="3">
        <v>4</v>
      </c>
      <c r="I14" s="3">
        <v>5</v>
      </c>
      <c r="J14" s="4">
        <v>5</v>
      </c>
    </row>
    <row r="16" spans="2:20" x14ac:dyDescent="0.25">
      <c r="B16" s="38"/>
      <c r="C16" s="39"/>
      <c r="D16" s="39"/>
      <c r="E16" s="39"/>
      <c r="F16" s="39"/>
      <c r="G16" s="39"/>
      <c r="H16" s="39"/>
      <c r="I16" s="39"/>
      <c r="J16" s="39"/>
    </row>
    <row r="17" spans="2:10" x14ac:dyDescent="0.25">
      <c r="B17" s="38"/>
      <c r="C17" s="13"/>
      <c r="D17" s="13"/>
      <c r="E17" s="13"/>
      <c r="F17" s="13"/>
      <c r="G17" s="13"/>
      <c r="H17" s="13"/>
      <c r="I17" s="13"/>
      <c r="J17" s="13"/>
    </row>
    <row r="18" spans="2:10" x14ac:dyDescent="0.25">
      <c r="B18" s="14"/>
      <c r="C18" s="14"/>
      <c r="D18" s="14"/>
      <c r="E18" s="14"/>
      <c r="F18" s="14"/>
      <c r="G18" s="14"/>
      <c r="H18" s="14"/>
      <c r="I18" s="14"/>
      <c r="J18" s="14"/>
    </row>
    <row r="19" spans="2:10" x14ac:dyDescent="0.25">
      <c r="B19" s="14"/>
      <c r="C19" s="14"/>
      <c r="D19" s="14"/>
      <c r="E19" s="14"/>
      <c r="F19" s="14"/>
      <c r="G19" s="14"/>
      <c r="H19" s="14"/>
      <c r="I19" s="14"/>
      <c r="J19" s="14"/>
    </row>
    <row r="20" spans="2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2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2" spans="2:10" x14ac:dyDescent="0.25"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20">
    <mergeCell ref="M2:N2"/>
    <mergeCell ref="O2:P2"/>
    <mergeCell ref="Q2:R2"/>
    <mergeCell ref="S2:T2"/>
    <mergeCell ref="L2:L3"/>
    <mergeCell ref="I2:J2"/>
    <mergeCell ref="B2:B3"/>
    <mergeCell ref="B16:B17"/>
    <mergeCell ref="C16:D16"/>
    <mergeCell ref="E16:F16"/>
    <mergeCell ref="G16:H16"/>
    <mergeCell ref="I16:J16"/>
    <mergeCell ref="I9:J9"/>
    <mergeCell ref="B9:B10"/>
    <mergeCell ref="C9:D9"/>
    <mergeCell ref="E9:F9"/>
    <mergeCell ref="G9:H9"/>
    <mergeCell ref="C2:D2"/>
    <mergeCell ref="E2:F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U38"/>
  <sheetViews>
    <sheetView zoomScale="130" zoomScaleNormal="130" workbookViewId="0">
      <selection activeCell="O12" sqref="O12"/>
    </sheetView>
  </sheetViews>
  <sheetFormatPr defaultRowHeight="15" x14ac:dyDescent="0.25"/>
  <cols>
    <col min="3" max="6" width="10.140625" bestFit="1" customWidth="1"/>
  </cols>
  <sheetData>
    <row r="1" spans="2:21" ht="15.75" thickBot="1" x14ac:dyDescent="0.3"/>
    <row r="2" spans="2:21" x14ac:dyDescent="0.25">
      <c r="B2" s="36" t="s">
        <v>25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</row>
    <row r="3" spans="2:21" ht="18" x14ac:dyDescent="0.35">
      <c r="B3" s="37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</row>
    <row r="4" spans="2:21" ht="18" thickBot="1" x14ac:dyDescent="0.3">
      <c r="B4" s="2" t="s">
        <v>27</v>
      </c>
      <c r="C4" s="5">
        <f>MAX(Agregados!C4:C7,Agregados!C11:C14)</f>
        <v>6</v>
      </c>
      <c r="D4" s="5">
        <f>MAX(Agregados!D4:D7,Agregados!D11:D14)</f>
        <v>6</v>
      </c>
      <c r="E4" s="5">
        <f>MIN(Agregados!E4:E7,Agregados!E11:E14)</f>
        <v>3</v>
      </c>
      <c r="F4" s="5">
        <f>MIN(Agregados!F4:F7,Agregados!F11:F14)</f>
        <v>4</v>
      </c>
      <c r="G4" s="5">
        <f>MIN(Agregados!G4:G7,Agregados!G11:G14)</f>
        <v>3</v>
      </c>
      <c r="H4" s="5">
        <f>MIN(Agregados!H4:H7,Agregados!H11:H14)</f>
        <v>4</v>
      </c>
      <c r="I4" s="5">
        <f>MAX(Agregados!I4:I7,Agregados!I11:I14)</f>
        <v>6</v>
      </c>
      <c r="J4" s="6">
        <f>MAX(Agregados!J4:J7,Agregados!J11:J14)</f>
        <v>6</v>
      </c>
    </row>
    <row r="5" spans="2:21" ht="15.75" thickBot="1" x14ac:dyDescent="0.3"/>
    <row r="6" spans="2:21" x14ac:dyDescent="0.25">
      <c r="B6" s="36" t="s">
        <v>26</v>
      </c>
      <c r="C6" s="34" t="s">
        <v>5</v>
      </c>
      <c r="D6" s="34"/>
      <c r="E6" s="34" t="s">
        <v>6</v>
      </c>
      <c r="F6" s="34"/>
      <c r="G6" s="34" t="s">
        <v>7</v>
      </c>
      <c r="H6" s="34"/>
      <c r="I6" s="34" t="s">
        <v>8</v>
      </c>
      <c r="J6" s="35"/>
    </row>
    <row r="7" spans="2:21" ht="18" x14ac:dyDescent="0.35">
      <c r="B7" s="37"/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1" t="s">
        <v>36</v>
      </c>
    </row>
    <row r="8" spans="2:21" ht="18" thickBot="1" x14ac:dyDescent="0.3">
      <c r="B8" s="2" t="s">
        <v>28</v>
      </c>
      <c r="C8" s="5">
        <f>MIN(Agregados!C4:C7,Agregados!C11:C14)</f>
        <v>3</v>
      </c>
      <c r="D8" s="5">
        <f>MIN(Agregados!D4:D7,Agregados!D11:D14)</f>
        <v>4</v>
      </c>
      <c r="E8" s="5">
        <f>MAX(Agregados!E4:E7,Agregados!E11:E14)</f>
        <v>6</v>
      </c>
      <c r="F8" s="5">
        <f>MAX(Agregados!F4:F7,Agregados!F11:F14)</f>
        <v>6</v>
      </c>
      <c r="G8" s="5">
        <f>MAX(Agregados!G4:G7,Agregados!G11:G14)</f>
        <v>6</v>
      </c>
      <c r="H8" s="5">
        <f>MAX(Agregados!H4:H7,Agregados!H11:H14)</f>
        <v>6</v>
      </c>
      <c r="I8" s="5">
        <f>MIN(Agregados!I4:I7,Agregados!I11:I14)</f>
        <v>2</v>
      </c>
      <c r="J8" s="6">
        <f>MIN(Agregados!J4:J7,Agregados!J11:J14)</f>
        <v>3</v>
      </c>
    </row>
    <row r="10" spans="2:21" x14ac:dyDescent="0.25">
      <c r="B10" s="43" t="s">
        <v>41</v>
      </c>
      <c r="C10" s="44" t="s">
        <v>38</v>
      </c>
      <c r="D10" s="44" t="s">
        <v>49</v>
      </c>
      <c r="E10" s="44" t="s">
        <v>39</v>
      </c>
      <c r="F10" s="44" t="s">
        <v>40</v>
      </c>
      <c r="G10" s="45" t="s">
        <v>37</v>
      </c>
      <c r="H10" s="12"/>
    </row>
    <row r="11" spans="2:21" x14ac:dyDescent="0.25">
      <c r="B11" s="43"/>
      <c r="C11" s="44"/>
      <c r="D11" s="44"/>
      <c r="E11" s="44"/>
      <c r="F11" s="44"/>
      <c r="G11" s="40"/>
      <c r="H11" s="13"/>
    </row>
    <row r="12" spans="2:21" x14ac:dyDescent="0.25">
      <c r="B12" s="21" t="s">
        <v>1</v>
      </c>
      <c r="C12" s="3">
        <f>ABS($C$4-Agregados!M4)+ABS($D$4-Agregados!N4)</f>
        <v>4</v>
      </c>
      <c r="D12" s="3">
        <f>ABS($E$4-Agregados!O4)+ABS($F$4-Agregados!P4)</f>
        <v>5</v>
      </c>
      <c r="E12" s="3">
        <f>ABS($G$4-Agregados!Q4)+ABS($H$4-Agregados!R4)</f>
        <v>1</v>
      </c>
      <c r="F12" s="3">
        <f>ABS($I$4-Agregados!S4)+ABS($J$4-Agregados!T4)</f>
        <v>6</v>
      </c>
      <c r="G12" s="3">
        <f>SUM(C12:F12)</f>
        <v>16</v>
      </c>
      <c r="H12" s="14"/>
    </row>
    <row r="13" spans="2:21" x14ac:dyDescent="0.25">
      <c r="B13" s="21" t="s">
        <v>2</v>
      </c>
      <c r="C13" s="3">
        <f>ABS($C$4-Agregados!M5)+ABS($D$4-Agregados!N5)</f>
        <v>2</v>
      </c>
      <c r="D13" s="3">
        <f>ABS($E$4-Agregados!O5)+ABS($F$4-Agregados!P5)</f>
        <v>3</v>
      </c>
      <c r="E13" s="3">
        <f>ABS($G$4-Agregados!Q5)+ABS($H$4-Agregados!R5)</f>
        <v>5</v>
      </c>
      <c r="F13" s="3">
        <f>ABS($I$4-Agregados!S5)+ABS($J$4-Agregados!T5)</f>
        <v>0</v>
      </c>
      <c r="G13" s="3">
        <f t="shared" ref="G13:G15" si="0">SUM(C13:F13)</f>
        <v>10</v>
      </c>
      <c r="H13" s="14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2:21" ht="15" customHeight="1" x14ac:dyDescent="0.25">
      <c r="B14" s="21" t="s">
        <v>3</v>
      </c>
      <c r="C14" s="3">
        <f>ABS($C$4-Agregados!M6)+ABS($D$4-Agregados!N6)</f>
        <v>0</v>
      </c>
      <c r="D14" s="3">
        <f>ABS($E$4-Agregados!O6)+ABS($F$4-Agregados!P6)</f>
        <v>1</v>
      </c>
      <c r="E14" s="3">
        <f>ABS($G$4-Agregados!Q6)+ABS($H$4-Agregados!R6)</f>
        <v>3</v>
      </c>
      <c r="F14" s="3">
        <f>ABS($I$4-Agregados!S6)+ABS($J$4-Agregados!T6)</f>
        <v>4</v>
      </c>
      <c r="G14" s="3">
        <f t="shared" si="0"/>
        <v>8</v>
      </c>
      <c r="H14" s="14"/>
      <c r="I14" s="43" t="s">
        <v>48</v>
      </c>
      <c r="J14" s="46" t="s">
        <v>46</v>
      </c>
      <c r="K14" s="40" t="s">
        <v>47</v>
      </c>
      <c r="L14" s="19"/>
      <c r="M14" s="28"/>
      <c r="N14" s="29"/>
      <c r="O14" s="29"/>
      <c r="P14" s="19"/>
      <c r="Q14" s="19"/>
      <c r="R14" s="19"/>
      <c r="S14" s="19"/>
      <c r="T14" s="19"/>
      <c r="U14" s="19"/>
    </row>
    <row r="15" spans="2:21" x14ac:dyDescent="0.25">
      <c r="B15" s="21" t="s">
        <v>4</v>
      </c>
      <c r="C15" s="3">
        <f>ABS($C$4-Agregados!M7)+ABS($D$4-Agregados!N7)</f>
        <v>3</v>
      </c>
      <c r="D15" s="3">
        <f>ABS($E$4-Agregados!O7)+ABS($F$4-Agregados!P7)</f>
        <v>2</v>
      </c>
      <c r="E15" s="3">
        <f>ABS($G$4-Agregados!Q7)+ABS($H$4-Agregados!R7)</f>
        <v>1</v>
      </c>
      <c r="F15" s="3">
        <f>ABS($I$4-Agregados!S7)+ABS($J$4-Agregados!T7)</f>
        <v>4</v>
      </c>
      <c r="G15" s="3">
        <f t="shared" si="0"/>
        <v>10</v>
      </c>
      <c r="H15" s="14"/>
      <c r="I15" s="43"/>
      <c r="J15" s="46"/>
      <c r="K15" s="40"/>
      <c r="L15" s="19"/>
      <c r="M15" s="28"/>
      <c r="N15" s="29"/>
      <c r="O15" s="29"/>
      <c r="P15" s="19"/>
      <c r="Q15" s="19"/>
      <c r="R15" s="19"/>
      <c r="S15" s="19"/>
      <c r="T15" s="19"/>
      <c r="U15" s="19"/>
    </row>
    <row r="16" spans="2:21" x14ac:dyDescent="0.25">
      <c r="B16" s="14"/>
      <c r="C16" s="14"/>
      <c r="D16" s="14"/>
      <c r="E16" s="14"/>
      <c r="F16" s="14"/>
      <c r="G16" s="14"/>
      <c r="H16" s="14"/>
      <c r="I16" s="21" t="s">
        <v>1</v>
      </c>
      <c r="J16" s="15">
        <f>(G20)/(G12+G20)</f>
        <v>0.27272727272727271</v>
      </c>
      <c r="K16" s="3">
        <f>RANK(J16,$J$16:$J$19)</f>
        <v>4</v>
      </c>
      <c r="L16" s="19"/>
      <c r="M16" s="14"/>
      <c r="N16" s="26"/>
      <c r="O16" s="14"/>
      <c r="P16" s="19"/>
      <c r="Q16" s="19"/>
      <c r="R16" s="19"/>
      <c r="S16" s="19"/>
      <c r="T16" s="19"/>
      <c r="U16" s="19"/>
    </row>
    <row r="17" spans="2:21" ht="15.75" thickBot="1" x14ac:dyDescent="0.3">
      <c r="I17" s="21" t="s">
        <v>2</v>
      </c>
      <c r="J17" s="15">
        <f t="shared" ref="J17:J18" si="1">(G21)/(G13+G21)</f>
        <v>0.54545454545454541</v>
      </c>
      <c r="K17" s="3">
        <f>RANK(J17,$J$16:$J$19)</f>
        <v>2</v>
      </c>
      <c r="L17" s="19"/>
      <c r="M17" s="14"/>
      <c r="N17" s="26"/>
      <c r="O17" s="14"/>
      <c r="P17" s="19"/>
      <c r="Q17" s="19"/>
      <c r="R17" s="19"/>
      <c r="S17" s="19"/>
      <c r="T17" s="19"/>
      <c r="U17" s="19"/>
    </row>
    <row r="18" spans="2:21" x14ac:dyDescent="0.25">
      <c r="B18" s="36" t="s">
        <v>42</v>
      </c>
      <c r="C18" s="34" t="s">
        <v>43</v>
      </c>
      <c r="D18" s="34" t="s">
        <v>50</v>
      </c>
      <c r="E18" s="34" t="s">
        <v>44</v>
      </c>
      <c r="F18" s="34" t="s">
        <v>45</v>
      </c>
      <c r="G18" s="41" t="s">
        <v>37</v>
      </c>
      <c r="I18" s="21" t="s">
        <v>3</v>
      </c>
      <c r="J18" s="15">
        <f t="shared" si="1"/>
        <v>0.63636363636363635</v>
      </c>
      <c r="K18" s="3">
        <f>RANK(J18,$J$16:$J$19)</f>
        <v>1</v>
      </c>
      <c r="L18" s="19"/>
      <c r="M18" s="14"/>
      <c r="N18" s="26"/>
      <c r="O18" s="14"/>
      <c r="P18" s="19"/>
      <c r="Q18" s="19"/>
      <c r="R18" s="19"/>
      <c r="S18" s="19"/>
      <c r="T18" s="19"/>
      <c r="U18" s="19"/>
    </row>
    <row r="19" spans="2:21" x14ac:dyDescent="0.25">
      <c r="B19" s="37"/>
      <c r="C19" s="44"/>
      <c r="D19" s="44"/>
      <c r="E19" s="44"/>
      <c r="F19" s="44"/>
      <c r="G19" s="42"/>
      <c r="I19" s="21" t="s">
        <v>4</v>
      </c>
      <c r="J19" s="15">
        <f>(G23)/(G15+G23)</f>
        <v>0.54545454545454541</v>
      </c>
      <c r="K19" s="3">
        <f>RANK(J19,$J$16:$J$19)</f>
        <v>2</v>
      </c>
      <c r="L19" s="19"/>
      <c r="M19" s="14"/>
      <c r="N19" s="26"/>
      <c r="O19" s="14"/>
      <c r="P19" s="19"/>
      <c r="Q19" s="19"/>
      <c r="R19" s="19"/>
      <c r="S19" s="19"/>
      <c r="T19" s="19"/>
      <c r="U19" s="19"/>
    </row>
    <row r="20" spans="2:21" x14ac:dyDescent="0.25">
      <c r="B20" s="1" t="s">
        <v>1</v>
      </c>
      <c r="C20" s="3">
        <f>ABS($C$8-Agregados!M4)+ABS($D$8-Agregados!N4)</f>
        <v>1</v>
      </c>
      <c r="D20" s="3">
        <f>ABS($E$8-Agregados!O4)+ABS($F$8-Agregados!P4)</f>
        <v>0</v>
      </c>
      <c r="E20" s="3">
        <f>ABS($G$8-Agregados!Q4)+ABS($H$8-Agregados!R4)</f>
        <v>4</v>
      </c>
      <c r="F20" s="3">
        <f>ABS($I$8-Agregados!S4)+ABS($J$8-Agregados!T4)</f>
        <v>1</v>
      </c>
      <c r="G20" s="4">
        <f>SUM(C20:F20)</f>
        <v>6</v>
      </c>
      <c r="I20" s="14"/>
      <c r="J20" s="26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2:21" x14ac:dyDescent="0.25">
      <c r="B21" s="1" t="s">
        <v>2</v>
      </c>
      <c r="C21" s="3">
        <f>ABS($C$8-Agregados!M5)+ABS($D$8-Agregados!N5)</f>
        <v>3</v>
      </c>
      <c r="D21" s="3">
        <f>ABS($E$8-Agregados!O5)+ABS($F$8-Agregados!P5)</f>
        <v>2</v>
      </c>
      <c r="E21" s="3">
        <f>ABS($G$8-Agregados!Q5)+ABS($H$8-Agregados!R5)</f>
        <v>0</v>
      </c>
      <c r="F21" s="3">
        <f>ABS($I$8-Agregados!S5)+ABS($J$8-Agregados!T5)</f>
        <v>7</v>
      </c>
      <c r="G21" s="4">
        <f t="shared" ref="G21:G23" si="2">SUM(C21:F21)</f>
        <v>12</v>
      </c>
      <c r="I21" s="12"/>
      <c r="J21" s="12"/>
      <c r="K21" s="12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2:21" x14ac:dyDescent="0.25">
      <c r="B22" s="1" t="s">
        <v>3</v>
      </c>
      <c r="C22" s="3">
        <f>ABS($C$8-Agregados!M6)+ABS($D$8-Agregados!N6)</f>
        <v>5</v>
      </c>
      <c r="D22" s="3">
        <f>ABS($E$8-Agregados!O6)+ABS($F$8-Agregados!P6)</f>
        <v>4</v>
      </c>
      <c r="E22" s="3">
        <f>ABS($G$8-Agregados!Q6)+ABS($H$8-Agregados!R6)</f>
        <v>2</v>
      </c>
      <c r="F22" s="3">
        <f>ABS($I$8-Agregados!S6)+ABS($J$8-Agregados!T6)</f>
        <v>3</v>
      </c>
      <c r="G22" s="4">
        <f t="shared" si="2"/>
        <v>14</v>
      </c>
      <c r="I22" s="19"/>
      <c r="J22" s="19"/>
      <c r="K22" s="19"/>
    </row>
    <row r="23" spans="2:21" x14ac:dyDescent="0.25">
      <c r="B23" s="1" t="s">
        <v>4</v>
      </c>
      <c r="C23" s="3">
        <f>ABS($C$8-Agregados!M7)+ABS($D$8-Agregados!N7)</f>
        <v>2</v>
      </c>
      <c r="D23" s="3">
        <f>ABS($E$8-Agregados!O7)+ABS($F$8-Agregados!P7)</f>
        <v>3</v>
      </c>
      <c r="E23" s="3">
        <f>ABS($G$8-Agregados!Q7)+ABS($H$8-Agregados!R7)</f>
        <v>4</v>
      </c>
      <c r="F23" s="3">
        <f>ABS($I$8-Agregados!S7)+ABS($J$8-Agregados!T7)</f>
        <v>3</v>
      </c>
      <c r="G23" s="4">
        <f t="shared" si="2"/>
        <v>12</v>
      </c>
      <c r="I23" s="19"/>
      <c r="J23" s="19"/>
      <c r="K23" s="19"/>
    </row>
    <row r="24" spans="2:21" x14ac:dyDescent="0.25">
      <c r="I24" s="19"/>
      <c r="J24" s="19"/>
      <c r="K24" s="19"/>
    </row>
    <row r="25" spans="2:21" x14ac:dyDescent="0.25">
      <c r="I25" s="19"/>
      <c r="J25" s="19"/>
      <c r="K25" s="19"/>
    </row>
    <row r="26" spans="2:21" x14ac:dyDescent="0.25">
      <c r="I26" s="19"/>
      <c r="J26" s="19"/>
      <c r="K26" s="19"/>
    </row>
    <row r="27" spans="2:21" x14ac:dyDescent="0.25">
      <c r="I27" s="19"/>
      <c r="J27" s="19"/>
      <c r="K27" s="19"/>
    </row>
    <row r="28" spans="2:21" x14ac:dyDescent="0.25">
      <c r="I28" s="19"/>
      <c r="J28" s="19"/>
      <c r="K28" s="19"/>
    </row>
    <row r="29" spans="2:21" x14ac:dyDescent="0.25">
      <c r="I29" s="19"/>
      <c r="J29" s="19"/>
      <c r="K29" s="19"/>
    </row>
    <row r="30" spans="2:21" x14ac:dyDescent="0.25">
      <c r="I30" s="25"/>
      <c r="J30" s="25"/>
      <c r="K30" s="25"/>
    </row>
    <row r="31" spans="2:21" x14ac:dyDescent="0.25">
      <c r="I31" s="19"/>
      <c r="J31" s="19"/>
      <c r="K31" s="19"/>
    </row>
    <row r="32" spans="2:21" x14ac:dyDescent="0.25">
      <c r="I32" s="19"/>
      <c r="J32" s="19"/>
      <c r="K32" s="19"/>
    </row>
    <row r="33" spans="9:11" x14ac:dyDescent="0.25">
      <c r="I33" s="19"/>
      <c r="J33" s="19"/>
      <c r="K33" s="19"/>
    </row>
    <row r="34" spans="9:11" x14ac:dyDescent="0.25">
      <c r="I34" s="19"/>
      <c r="J34" s="19"/>
      <c r="K34" s="19"/>
    </row>
    <row r="35" spans="9:11" x14ac:dyDescent="0.25">
      <c r="I35" s="19"/>
      <c r="J35" s="19"/>
      <c r="K35" s="19"/>
    </row>
    <row r="36" spans="9:11" x14ac:dyDescent="0.25">
      <c r="I36" s="19"/>
      <c r="J36" s="19"/>
      <c r="K36" s="19"/>
    </row>
    <row r="37" spans="9:11" x14ac:dyDescent="0.25">
      <c r="I37" s="19"/>
      <c r="J37" s="19"/>
      <c r="K37" s="19"/>
    </row>
    <row r="38" spans="9:11" x14ac:dyDescent="0.25">
      <c r="I38" s="19"/>
      <c r="J38" s="19"/>
      <c r="K38" s="19"/>
    </row>
  </sheetData>
  <mergeCells count="25">
    <mergeCell ref="K14:K15"/>
    <mergeCell ref="G18:G19"/>
    <mergeCell ref="B10:B11"/>
    <mergeCell ref="C10:C11"/>
    <mergeCell ref="D10:D11"/>
    <mergeCell ref="E10:E11"/>
    <mergeCell ref="F10:F11"/>
    <mergeCell ref="G10:G11"/>
    <mergeCell ref="B18:B19"/>
    <mergeCell ref="C18:C19"/>
    <mergeCell ref="D18:D19"/>
    <mergeCell ref="E18:E19"/>
    <mergeCell ref="F18:F19"/>
    <mergeCell ref="I14:I15"/>
    <mergeCell ref="J14:J15"/>
    <mergeCell ref="B2:B3"/>
    <mergeCell ref="C2:D2"/>
    <mergeCell ref="E2:F2"/>
    <mergeCell ref="G2:H2"/>
    <mergeCell ref="I2:J2"/>
    <mergeCell ref="B6:B7"/>
    <mergeCell ref="C6:D6"/>
    <mergeCell ref="E6:F6"/>
    <mergeCell ref="G6:H6"/>
    <mergeCell ref="I6:J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3"/>
  <sheetViews>
    <sheetView zoomScale="130" zoomScaleNormal="130" workbookViewId="0">
      <selection activeCell="F31" sqref="F31:F32"/>
    </sheetView>
  </sheetViews>
  <sheetFormatPr defaultRowHeight="15" x14ac:dyDescent="0.25"/>
  <sheetData>
    <row r="1" spans="2:20" ht="15.75" thickBot="1" x14ac:dyDescent="0.3"/>
    <row r="2" spans="2:20" x14ac:dyDescent="0.25">
      <c r="B2" s="36" t="s">
        <v>0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  <c r="L2" s="36" t="s">
        <v>16</v>
      </c>
      <c r="M2" s="34" t="s">
        <v>5</v>
      </c>
      <c r="N2" s="34"/>
      <c r="O2" s="34" t="s">
        <v>6</v>
      </c>
      <c r="P2" s="34"/>
      <c r="Q2" s="34" t="s">
        <v>7</v>
      </c>
      <c r="R2" s="34"/>
      <c r="S2" s="34" t="s">
        <v>8</v>
      </c>
      <c r="T2" s="35"/>
    </row>
    <row r="3" spans="2:20" ht="18" x14ac:dyDescent="0.35">
      <c r="B3" s="37"/>
      <c r="C3" s="24" t="s">
        <v>14</v>
      </c>
      <c r="D3" s="24" t="s">
        <v>15</v>
      </c>
      <c r="E3" s="24" t="s">
        <v>14</v>
      </c>
      <c r="F3" s="24" t="s">
        <v>15</v>
      </c>
      <c r="G3" s="24" t="s">
        <v>14</v>
      </c>
      <c r="H3" s="24" t="s">
        <v>15</v>
      </c>
      <c r="I3" s="24" t="s">
        <v>14</v>
      </c>
      <c r="J3" s="9" t="s">
        <v>15</v>
      </c>
      <c r="L3" s="37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1" t="s">
        <v>24</v>
      </c>
    </row>
    <row r="4" spans="2:20" x14ac:dyDescent="0.25">
      <c r="B4" s="1" t="s">
        <v>1</v>
      </c>
      <c r="C4" s="3">
        <v>4</v>
      </c>
      <c r="D4" s="3">
        <v>4</v>
      </c>
      <c r="E4" s="3">
        <v>6</v>
      </c>
      <c r="F4" s="3">
        <v>6</v>
      </c>
      <c r="G4" s="3">
        <v>4</v>
      </c>
      <c r="H4" s="3">
        <v>4</v>
      </c>
      <c r="I4" s="3">
        <v>3</v>
      </c>
      <c r="J4" s="4">
        <v>3</v>
      </c>
      <c r="L4" s="1" t="s">
        <v>1</v>
      </c>
      <c r="M4" s="3">
        <f>MIN(MIN(D4,D12),MAX(C4,C12))</f>
        <v>4</v>
      </c>
      <c r="N4" s="3">
        <f>MAX(MIN(D4,D12),MAX(C4,C12))</f>
        <v>4</v>
      </c>
      <c r="O4" s="3">
        <f>MIN(MIN(F4,F12),MAX(E4,E12))</f>
        <v>6</v>
      </c>
      <c r="P4" s="3">
        <f>MAX(MIN(F4,F12),MAX(E4,E12))</f>
        <v>6</v>
      </c>
      <c r="Q4" s="3">
        <f>MIN(MIN(H4,H12),MAX(G4,G12))</f>
        <v>4</v>
      </c>
      <c r="R4" s="3">
        <f>MAX(MIN(H4,H12),MAX(G4,G12))</f>
        <v>4</v>
      </c>
      <c r="S4" s="3">
        <f>MIN(MIN(J4,J12),MAX(I4,I12))</f>
        <v>3</v>
      </c>
      <c r="T4" s="4">
        <f>MAX(MIN(J4,J12),MAX(I4,I12))</f>
        <v>3</v>
      </c>
    </row>
    <row r="5" spans="2:20" x14ac:dyDescent="0.25">
      <c r="B5" s="1" t="s">
        <v>2</v>
      </c>
      <c r="C5" s="3">
        <v>5</v>
      </c>
      <c r="D5" s="3">
        <v>5</v>
      </c>
      <c r="E5" s="3">
        <v>5</v>
      </c>
      <c r="F5" s="3">
        <v>5</v>
      </c>
      <c r="G5" s="3">
        <v>6</v>
      </c>
      <c r="H5" s="3">
        <v>6</v>
      </c>
      <c r="I5" s="3">
        <v>6</v>
      </c>
      <c r="J5" s="4">
        <v>6</v>
      </c>
      <c r="L5" s="1" t="s">
        <v>2</v>
      </c>
      <c r="M5" s="3">
        <f>MIN(MIN(D5,D13),MAX(C5,C13))</f>
        <v>5</v>
      </c>
      <c r="N5" s="3">
        <f>MAX(MIN(D5,D13),MAX(C5,C13))</f>
        <v>5</v>
      </c>
      <c r="O5" s="3">
        <f>MIN(MIN(F5,F13),MAX(E5,E13))</f>
        <v>5</v>
      </c>
      <c r="P5" s="3">
        <f>MAX(MIN(F5,F13),MAX(E5,E13))</f>
        <v>5</v>
      </c>
      <c r="Q5" s="3">
        <f>MIN(MIN(H5,H13),MAX(G5,G13))</f>
        <v>6</v>
      </c>
      <c r="R5" s="3">
        <f>MAX(MIN(H5,H13),MAX(G5,G13))</f>
        <v>6</v>
      </c>
      <c r="S5" s="3">
        <f>MIN(MIN(J5,J13),MAX(I5,I13))</f>
        <v>6</v>
      </c>
      <c r="T5" s="4">
        <f>MAX(MIN(J5,J13),MAX(I5,I13))</f>
        <v>6</v>
      </c>
    </row>
    <row r="6" spans="2:20" x14ac:dyDescent="0.25">
      <c r="B6" s="1" t="s">
        <v>3</v>
      </c>
      <c r="C6" s="3">
        <v>6</v>
      </c>
      <c r="D6" s="3">
        <v>6</v>
      </c>
      <c r="E6" s="3">
        <v>4</v>
      </c>
      <c r="F6" s="3">
        <v>4</v>
      </c>
      <c r="G6" s="3">
        <v>5</v>
      </c>
      <c r="H6" s="3">
        <v>5</v>
      </c>
      <c r="I6" s="3">
        <v>4</v>
      </c>
      <c r="J6" s="4">
        <v>4</v>
      </c>
      <c r="L6" s="1" t="s">
        <v>3</v>
      </c>
      <c r="M6" s="3">
        <f>MIN(MIN(D6,D14),MAX(C6,C14))</f>
        <v>6</v>
      </c>
      <c r="N6" s="3">
        <f>MAX(MIN(D6,D14),MAX(C6,C14))</f>
        <v>6</v>
      </c>
      <c r="O6" s="3">
        <f>MIN(MIN(F6,F14),MAX(E6,E14))</f>
        <v>4</v>
      </c>
      <c r="P6" s="3">
        <f>MAX(MIN(F6,F14),MAX(E6,E14))</f>
        <v>4</v>
      </c>
      <c r="Q6" s="3">
        <f>MIN(MIN(H6,H14),MAX(G6,G14))</f>
        <v>5</v>
      </c>
      <c r="R6" s="3">
        <f>MAX(MIN(H6,H14),MAX(G6,G14))</f>
        <v>5</v>
      </c>
      <c r="S6" s="3">
        <f>MIN(MIN(J6,J14),MAX(I6,I14))</f>
        <v>4</v>
      </c>
      <c r="T6" s="4">
        <f>MAX(MIN(J6,J14),MAX(I6,I14))</f>
        <v>4</v>
      </c>
    </row>
    <row r="7" spans="2:20" x14ac:dyDescent="0.25">
      <c r="B7" s="1" t="s">
        <v>4</v>
      </c>
      <c r="C7" s="3">
        <v>4</v>
      </c>
      <c r="D7" s="3">
        <v>4</v>
      </c>
      <c r="E7" s="3">
        <v>5</v>
      </c>
      <c r="F7" s="3">
        <v>5</v>
      </c>
      <c r="G7" s="3">
        <v>4</v>
      </c>
      <c r="H7" s="3">
        <v>4</v>
      </c>
      <c r="I7" s="3">
        <v>3</v>
      </c>
      <c r="J7" s="4">
        <v>3</v>
      </c>
      <c r="L7" s="1" t="s">
        <v>4</v>
      </c>
      <c r="M7" s="3">
        <f>MIN(MIN(D7,D15),MAX(C7,C15))</f>
        <v>4</v>
      </c>
      <c r="N7" s="3">
        <f>MAX(MIN(D7,D15),MAX(C7,C15))</f>
        <v>5</v>
      </c>
      <c r="O7" s="3">
        <f>MIN(MIN(F7,F15),MAX(E7,E15))</f>
        <v>4</v>
      </c>
      <c r="P7" s="3">
        <f>MAX(MIN(F7,F15),MAX(E7,E15))</f>
        <v>5</v>
      </c>
      <c r="Q7" s="3">
        <f>MIN(MIN(H7,H15),MAX(G7,G15))</f>
        <v>4</v>
      </c>
      <c r="R7" s="3">
        <f>MAX(MIN(H7,H15),MAX(G7,G15))</f>
        <v>4</v>
      </c>
      <c r="S7" s="3">
        <f>MIN(MIN(J7,J15),MAX(I7,I15))</f>
        <v>3</v>
      </c>
      <c r="T7" s="4">
        <f>MAX(MIN(J7,J15),MAX(I7,I15))</f>
        <v>5</v>
      </c>
    </row>
    <row r="8" spans="2:20" x14ac:dyDescent="0.25">
      <c r="B8" s="31" t="s">
        <v>67</v>
      </c>
      <c r="C8" s="3">
        <v>6</v>
      </c>
      <c r="D8" s="3">
        <v>6</v>
      </c>
      <c r="E8" s="3">
        <v>3</v>
      </c>
      <c r="F8" s="3">
        <v>4</v>
      </c>
      <c r="G8" s="3">
        <v>3</v>
      </c>
      <c r="H8" s="3">
        <v>4</v>
      </c>
      <c r="I8" s="3">
        <v>6</v>
      </c>
      <c r="J8" s="3">
        <v>6</v>
      </c>
      <c r="L8" s="30" t="s">
        <v>67</v>
      </c>
      <c r="M8" s="3">
        <f>MIN(MIN(D8,D16),MAX(C8,C16))</f>
        <v>6</v>
      </c>
      <c r="N8" s="3">
        <f>MAX(MIN(D8,D16),MAX(C8,C16))</f>
        <v>6</v>
      </c>
      <c r="O8" s="3">
        <f>MIN(MIN(F8,F16),MAX(E8,E16))</f>
        <v>3</v>
      </c>
      <c r="P8" s="3">
        <f>MAX(MIN(F8,F16),MAX(E8,E16))</f>
        <v>4</v>
      </c>
      <c r="Q8" s="3">
        <f>MIN(MIN(H8,H16),MAX(G8,G16))</f>
        <v>3</v>
      </c>
      <c r="R8" s="3">
        <f>MAX(MIN(H8,H16),MAX(G8,G16))</f>
        <v>4</v>
      </c>
      <c r="S8" s="3">
        <f>MIN(MIN(J8,J16),MAX(I8,I16))</f>
        <v>6</v>
      </c>
      <c r="T8" s="4">
        <f>MAX(MIN(J8,J16),MAX(I8,I16))</f>
        <v>6</v>
      </c>
    </row>
    <row r="9" spans="2:20" ht="15.75" thickBot="1" x14ac:dyDescent="0.3"/>
    <row r="10" spans="2:20" x14ac:dyDescent="0.25">
      <c r="B10" s="36" t="s">
        <v>9</v>
      </c>
      <c r="C10" s="34" t="s">
        <v>5</v>
      </c>
      <c r="D10" s="34"/>
      <c r="E10" s="34" t="s">
        <v>6</v>
      </c>
      <c r="F10" s="34"/>
      <c r="G10" s="34" t="s">
        <v>7</v>
      </c>
      <c r="H10" s="34"/>
      <c r="I10" s="34" t="s">
        <v>8</v>
      </c>
      <c r="J10" s="35"/>
    </row>
    <row r="11" spans="2:20" x14ac:dyDescent="0.25">
      <c r="B11" s="37"/>
      <c r="C11" s="24" t="s">
        <v>14</v>
      </c>
      <c r="D11" s="24" t="s">
        <v>15</v>
      </c>
      <c r="E11" s="24" t="s">
        <v>14</v>
      </c>
      <c r="F11" s="24" t="s">
        <v>15</v>
      </c>
      <c r="G11" s="24" t="s">
        <v>14</v>
      </c>
      <c r="H11" s="24" t="s">
        <v>15</v>
      </c>
      <c r="I11" s="24" t="s">
        <v>14</v>
      </c>
      <c r="J11" s="9" t="s">
        <v>15</v>
      </c>
    </row>
    <row r="12" spans="2:20" x14ac:dyDescent="0.25">
      <c r="B12" s="1" t="s">
        <v>1</v>
      </c>
      <c r="C12" s="3">
        <v>3</v>
      </c>
      <c r="D12" s="3">
        <v>4</v>
      </c>
      <c r="E12" s="3">
        <v>5</v>
      </c>
      <c r="F12" s="3">
        <v>6</v>
      </c>
      <c r="G12" s="3">
        <v>3</v>
      </c>
      <c r="H12" s="3">
        <v>4</v>
      </c>
      <c r="I12" s="3">
        <v>2</v>
      </c>
      <c r="J12" s="4">
        <v>3</v>
      </c>
    </row>
    <row r="13" spans="2:20" x14ac:dyDescent="0.25">
      <c r="B13" s="1" t="s">
        <v>2</v>
      </c>
      <c r="C13" s="3">
        <v>4</v>
      </c>
      <c r="D13" s="3">
        <v>5</v>
      </c>
      <c r="E13" s="3">
        <v>4</v>
      </c>
      <c r="F13" s="3">
        <v>5</v>
      </c>
      <c r="G13" s="3">
        <v>5</v>
      </c>
      <c r="H13" s="3">
        <v>6</v>
      </c>
      <c r="I13" s="3">
        <v>5</v>
      </c>
      <c r="J13" s="4">
        <v>6</v>
      </c>
    </row>
    <row r="14" spans="2:20" x14ac:dyDescent="0.25">
      <c r="B14" s="1" t="s">
        <v>3</v>
      </c>
      <c r="C14" s="3">
        <v>5</v>
      </c>
      <c r="D14" s="3">
        <v>6</v>
      </c>
      <c r="E14" s="3">
        <v>3</v>
      </c>
      <c r="F14" s="3">
        <v>4</v>
      </c>
      <c r="G14" s="3">
        <v>5</v>
      </c>
      <c r="H14" s="3">
        <v>6</v>
      </c>
      <c r="I14" s="3">
        <v>4</v>
      </c>
      <c r="J14" s="4">
        <v>5</v>
      </c>
    </row>
    <row r="15" spans="2:20" x14ac:dyDescent="0.25">
      <c r="B15" s="1" t="s">
        <v>4</v>
      </c>
      <c r="C15" s="3">
        <v>5</v>
      </c>
      <c r="D15" s="3">
        <v>6</v>
      </c>
      <c r="E15" s="3">
        <v>4</v>
      </c>
      <c r="F15" s="3">
        <v>4</v>
      </c>
      <c r="G15" s="3">
        <v>3</v>
      </c>
      <c r="H15" s="3">
        <v>4</v>
      </c>
      <c r="I15" s="3">
        <v>5</v>
      </c>
      <c r="J15" s="4">
        <v>5</v>
      </c>
    </row>
    <row r="16" spans="2:20" x14ac:dyDescent="0.25">
      <c r="B16" s="31" t="s">
        <v>67</v>
      </c>
      <c r="C16" s="3">
        <v>6</v>
      </c>
      <c r="D16" s="3">
        <v>6</v>
      </c>
      <c r="E16" s="3">
        <v>3</v>
      </c>
      <c r="F16" s="3">
        <v>4</v>
      </c>
      <c r="G16" s="3">
        <v>3</v>
      </c>
      <c r="H16" s="3">
        <v>4</v>
      </c>
      <c r="I16" s="3">
        <v>6</v>
      </c>
      <c r="J16" s="3">
        <v>6</v>
      </c>
    </row>
    <row r="17" spans="2:10" x14ac:dyDescent="0.25">
      <c r="B17" s="38"/>
      <c r="C17" s="39"/>
      <c r="D17" s="39"/>
      <c r="E17" s="39"/>
      <c r="F17" s="39"/>
      <c r="G17" s="39"/>
      <c r="H17" s="39"/>
      <c r="I17" s="39"/>
      <c r="J17" s="39"/>
    </row>
    <row r="18" spans="2:10" x14ac:dyDescent="0.25">
      <c r="B18" s="38"/>
      <c r="C18" s="23"/>
      <c r="D18" s="23"/>
      <c r="E18" s="23"/>
      <c r="F18" s="23"/>
      <c r="G18" s="23"/>
      <c r="H18" s="23"/>
      <c r="I18" s="23"/>
      <c r="J18" s="23"/>
    </row>
    <row r="19" spans="2:10" x14ac:dyDescent="0.25">
      <c r="B19" s="14"/>
      <c r="C19" s="14"/>
      <c r="D19" s="14"/>
      <c r="E19" s="14"/>
      <c r="F19" s="14"/>
      <c r="G19" s="14"/>
      <c r="H19" s="14"/>
      <c r="I19" s="14"/>
      <c r="J19" s="14"/>
    </row>
    <row r="20" spans="2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2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2" spans="2:10" x14ac:dyDescent="0.25">
      <c r="B22" s="14"/>
      <c r="C22" s="14"/>
      <c r="D22" s="14"/>
      <c r="E22" s="14"/>
      <c r="F22" s="14"/>
      <c r="G22" s="14"/>
      <c r="H22" s="14"/>
      <c r="I22" s="14"/>
      <c r="J22" s="14"/>
    </row>
    <row r="23" spans="2:10" x14ac:dyDescent="0.25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20">
    <mergeCell ref="M2:N2"/>
    <mergeCell ref="O2:P2"/>
    <mergeCell ref="Q2:R2"/>
    <mergeCell ref="S2:T2"/>
    <mergeCell ref="B10:B11"/>
    <mergeCell ref="C10:D10"/>
    <mergeCell ref="E10:F10"/>
    <mergeCell ref="G10:H10"/>
    <mergeCell ref="I10:J10"/>
    <mergeCell ref="B2:B3"/>
    <mergeCell ref="C2:D2"/>
    <mergeCell ref="E2:F2"/>
    <mergeCell ref="G2:H2"/>
    <mergeCell ref="I2:J2"/>
    <mergeCell ref="L2:L3"/>
    <mergeCell ref="B17:B18"/>
    <mergeCell ref="C17:D17"/>
    <mergeCell ref="E17:F17"/>
    <mergeCell ref="G17:H17"/>
    <mergeCell ref="I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"/>
  <sheetViews>
    <sheetView zoomScale="130" zoomScaleNormal="130" workbookViewId="0">
      <selection activeCell="C8" sqref="C8"/>
    </sheetView>
  </sheetViews>
  <sheetFormatPr defaultRowHeight="15" x14ac:dyDescent="0.25"/>
  <cols>
    <col min="3" max="6" width="10.140625" bestFit="1" customWidth="1"/>
  </cols>
  <sheetData>
    <row r="1" spans="2:21" ht="15.75" thickBot="1" x14ac:dyDescent="0.3"/>
    <row r="2" spans="2:21" x14ac:dyDescent="0.25">
      <c r="B2" s="36" t="s">
        <v>25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</row>
    <row r="3" spans="2:21" ht="18" x14ac:dyDescent="0.35">
      <c r="B3" s="37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</row>
    <row r="4" spans="2:21" ht="18" thickBot="1" x14ac:dyDescent="0.3">
      <c r="B4" s="2" t="s">
        <v>27</v>
      </c>
      <c r="C4" s="5">
        <f>MAX('Agregados A+'!C4:C8,'Agregados A+'!C11:C15)</f>
        <v>6</v>
      </c>
      <c r="D4" s="5">
        <f>MAX('Agregados A+'!D4:D8,'Agregados A+'!D11:D15)</f>
        <v>6</v>
      </c>
      <c r="E4" s="5">
        <f>MIN('Agregados A+'!E4:E8,'Agregados A+'!E11:E15)</f>
        <v>3</v>
      </c>
      <c r="F4" s="5">
        <f>MIN('Agregados A+'!F4:F8,'Agregados A+'!F11:F15)</f>
        <v>4</v>
      </c>
      <c r="G4" s="5">
        <f>MIN('Agregados A+'!G4:G8,'Agregados A+'!G11:G15)</f>
        <v>3</v>
      </c>
      <c r="H4" s="5">
        <f>MIN('Agregados A+'!H4:H8,'Agregados A+'!H11:H15)</f>
        <v>4</v>
      </c>
      <c r="I4" s="5">
        <f>MAX('Agregados A+'!I4:I8,'Agregados A+'!I11:I15)</f>
        <v>6</v>
      </c>
      <c r="J4" s="5">
        <f>MAX('Agregados A+'!J4:J8,'Agregados A+'!J11:J15)</f>
        <v>6</v>
      </c>
    </row>
    <row r="5" spans="2:21" ht="15.75" thickBot="1" x14ac:dyDescent="0.3"/>
    <row r="6" spans="2:21" x14ac:dyDescent="0.25">
      <c r="B6" s="36" t="s">
        <v>26</v>
      </c>
      <c r="C6" s="34" t="s">
        <v>5</v>
      </c>
      <c r="D6" s="34"/>
      <c r="E6" s="34" t="s">
        <v>6</v>
      </c>
      <c r="F6" s="34"/>
      <c r="G6" s="34" t="s">
        <v>7</v>
      </c>
      <c r="H6" s="34"/>
      <c r="I6" s="34" t="s">
        <v>8</v>
      </c>
      <c r="J6" s="35"/>
    </row>
    <row r="7" spans="2:21" ht="18" x14ac:dyDescent="0.35">
      <c r="B7" s="37"/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1" t="s">
        <v>36</v>
      </c>
    </row>
    <row r="8" spans="2:21" ht="18" thickBot="1" x14ac:dyDescent="0.3">
      <c r="B8" s="2" t="s">
        <v>28</v>
      </c>
      <c r="C8" s="5">
        <f>MIN('Agregados A+'!C4:C8,Agregados!C11:C15)</f>
        <v>3</v>
      </c>
      <c r="D8" s="5">
        <f>MIN('Agregados A+'!D4:D8,Agregados!D11:D15)</f>
        <v>4</v>
      </c>
      <c r="E8" s="5">
        <f>MAX('Agregados A+'!E4:E8,Agregados!E11:E15)</f>
        <v>6</v>
      </c>
      <c r="F8" s="5">
        <f>MAX('Agregados A+'!F4:F8,Agregados!F11:F15)</f>
        <v>6</v>
      </c>
      <c r="G8" s="5">
        <f>MAX('Agregados A+'!G4:G8,Agregados!G11:G15)</f>
        <v>6</v>
      </c>
      <c r="H8" s="5">
        <f>MAX('Agregados A+'!H4:H8,Agregados!H11:H15)</f>
        <v>6</v>
      </c>
      <c r="I8" s="5">
        <f>MIN('Agregados A+'!I4:I8,Agregados!I11:I15)</f>
        <v>2</v>
      </c>
      <c r="J8" s="5">
        <f>MIN('Agregados A+'!J4:J8,Agregados!J11:J15)</f>
        <v>3</v>
      </c>
    </row>
    <row r="10" spans="2:21" x14ac:dyDescent="0.25">
      <c r="B10" s="43" t="s">
        <v>41</v>
      </c>
      <c r="C10" s="44" t="s">
        <v>38</v>
      </c>
      <c r="D10" s="44" t="s">
        <v>49</v>
      </c>
      <c r="E10" s="44" t="s">
        <v>39</v>
      </c>
      <c r="F10" s="44" t="s">
        <v>40</v>
      </c>
      <c r="G10" s="45" t="s">
        <v>37</v>
      </c>
      <c r="H10" s="12"/>
    </row>
    <row r="11" spans="2:21" x14ac:dyDescent="0.25">
      <c r="B11" s="43"/>
      <c r="C11" s="44"/>
      <c r="D11" s="44"/>
      <c r="E11" s="44"/>
      <c r="F11" s="44"/>
      <c r="G11" s="40"/>
      <c r="H11" s="23"/>
    </row>
    <row r="12" spans="2:21" x14ac:dyDescent="0.25">
      <c r="B12" s="21" t="s">
        <v>1</v>
      </c>
      <c r="C12" s="3">
        <f>ABS($C$4-Agregados!M4)+ABS($D$4-Agregados!N4)</f>
        <v>4</v>
      </c>
      <c r="D12" s="3">
        <f>ABS($E$4-Agregados!O4)+ABS($F$4-Agregados!P4)</f>
        <v>5</v>
      </c>
      <c r="E12" s="3">
        <f>ABS($G$4-Agregados!Q4)+ABS($H$4-Agregados!R4)</f>
        <v>1</v>
      </c>
      <c r="F12" s="3">
        <f>ABS($I$4-Agregados!S4)+ABS($J$4-Agregados!T4)</f>
        <v>6</v>
      </c>
      <c r="G12" s="3">
        <f>SUM(C12:F12)</f>
        <v>16</v>
      </c>
      <c r="H12" s="14"/>
    </row>
    <row r="13" spans="2:21" x14ac:dyDescent="0.25">
      <c r="B13" s="21" t="s">
        <v>2</v>
      </c>
      <c r="C13" s="3">
        <f>ABS($C$4-Agregados!M5)+ABS($D$4-Agregados!N5)</f>
        <v>2</v>
      </c>
      <c r="D13" s="3">
        <f>ABS($E$4-Agregados!O5)+ABS($F$4-Agregados!P5)</f>
        <v>3</v>
      </c>
      <c r="E13" s="3">
        <f>ABS($G$4-Agregados!Q5)+ABS($H$4-Agregados!R5)</f>
        <v>5</v>
      </c>
      <c r="F13" s="3">
        <f>ABS($I$4-Agregados!S5)+ABS($J$4-Agregados!T5)</f>
        <v>0</v>
      </c>
      <c r="G13" s="3">
        <f t="shared" ref="G13:G15" si="0">SUM(C13:F13)</f>
        <v>10</v>
      </c>
      <c r="H13" s="14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2:21" ht="15" customHeight="1" x14ac:dyDescent="0.25">
      <c r="B14" s="21" t="s">
        <v>3</v>
      </c>
      <c r="C14" s="3">
        <f>ABS($C$4-Agregados!M6)+ABS($D$4-Agregados!N6)</f>
        <v>0</v>
      </c>
      <c r="D14" s="3">
        <f>ABS($E$4-Agregados!O6)+ABS($F$4-Agregados!P6)</f>
        <v>1</v>
      </c>
      <c r="E14" s="3">
        <f>ABS($G$4-Agregados!Q6)+ABS($H$4-Agregados!R6)</f>
        <v>3</v>
      </c>
      <c r="F14" s="3">
        <f>ABS($I$4-Agregados!S6)+ABS($J$4-Agregados!T6)</f>
        <v>4</v>
      </c>
      <c r="G14" s="3">
        <f t="shared" si="0"/>
        <v>8</v>
      </c>
      <c r="H14" s="14"/>
      <c r="I14" s="43" t="s">
        <v>48</v>
      </c>
      <c r="J14" s="46" t="s">
        <v>46</v>
      </c>
      <c r="K14" s="40" t="s">
        <v>47</v>
      </c>
      <c r="L14" s="19"/>
      <c r="M14" s="28"/>
      <c r="N14" s="29"/>
      <c r="O14" s="29"/>
      <c r="P14" s="19"/>
      <c r="Q14" s="19"/>
      <c r="R14" s="19"/>
      <c r="S14" s="19"/>
      <c r="T14" s="19"/>
      <c r="U14" s="19"/>
    </row>
    <row r="15" spans="2:21" x14ac:dyDescent="0.25">
      <c r="B15" s="21" t="s">
        <v>4</v>
      </c>
      <c r="C15" s="3">
        <f>ABS($C$4-Agregados!M7)+ABS($D$4-Agregados!N7)</f>
        <v>3</v>
      </c>
      <c r="D15" s="3">
        <f>ABS($E$4-Agregados!O7)+ABS($F$4-Agregados!P7)</f>
        <v>2</v>
      </c>
      <c r="E15" s="3">
        <f>ABS($G$4-Agregados!Q7)+ABS($H$4-Agregados!R7)</f>
        <v>1</v>
      </c>
      <c r="F15" s="3">
        <f>ABS($I$4-Agregados!S7)+ABS($J$4-Agregados!T7)</f>
        <v>4</v>
      </c>
      <c r="G15" s="3">
        <f t="shared" si="0"/>
        <v>10</v>
      </c>
      <c r="H15" s="14"/>
      <c r="I15" s="43"/>
      <c r="J15" s="46"/>
      <c r="K15" s="40"/>
      <c r="L15" s="19"/>
      <c r="M15" s="28"/>
      <c r="N15" s="29"/>
      <c r="O15" s="29"/>
      <c r="P15" s="19"/>
      <c r="Q15" s="19"/>
      <c r="R15" s="19"/>
      <c r="S15" s="19"/>
      <c r="T15" s="19"/>
      <c r="U15" s="19"/>
    </row>
    <row r="16" spans="2:21" x14ac:dyDescent="0.25">
      <c r="B16" s="21" t="s">
        <v>67</v>
      </c>
      <c r="C16" s="3">
        <f>ABS($C$4-'Agregados A+'!M8)+ABS($D$4-'Agregados A+'!N8)</f>
        <v>0</v>
      </c>
      <c r="D16" s="3">
        <f>ABS($E$4-'Agregados A+'!O8)+ABS($F$4-'Agregados A+'!P8)</f>
        <v>0</v>
      </c>
      <c r="E16" s="3">
        <f>ABS($G$4-'Agregados A+'!Q8)+ABS($H$4-'Agregados A+'!R8)</f>
        <v>0</v>
      </c>
      <c r="F16" s="3">
        <f>ABS($I$4-'Agregados A+'!S8)+ABS($J$4-'Agregados A+'!T8)</f>
        <v>0</v>
      </c>
      <c r="G16" s="3">
        <f>SUM(C16:F16)</f>
        <v>0</v>
      </c>
      <c r="H16" s="14"/>
      <c r="I16" s="21" t="s">
        <v>1</v>
      </c>
      <c r="J16" s="15">
        <f>(G20)/(G12+G20)</f>
        <v>0.27272727272727271</v>
      </c>
      <c r="K16" s="3">
        <f>RANK(J16,$J$16:$J$20)</f>
        <v>5</v>
      </c>
      <c r="L16" s="19"/>
      <c r="M16" s="14"/>
      <c r="N16" s="26"/>
      <c r="O16" s="14"/>
      <c r="P16" s="19"/>
      <c r="Q16" s="19"/>
      <c r="R16" s="19"/>
      <c r="S16" s="19"/>
      <c r="T16" s="19"/>
      <c r="U16" s="19"/>
    </row>
    <row r="17" spans="2:21" ht="15.75" thickBot="1" x14ac:dyDescent="0.3">
      <c r="I17" s="21" t="s">
        <v>2</v>
      </c>
      <c r="J17" s="15">
        <f t="shared" ref="J17:J18" si="1">(G21)/(G13+G21)</f>
        <v>0.54545454545454541</v>
      </c>
      <c r="K17" s="3">
        <f t="shared" ref="K17:K20" si="2">RANK(J17,$J$16:$J$20)</f>
        <v>3</v>
      </c>
      <c r="L17" s="19"/>
      <c r="M17" s="14"/>
      <c r="N17" s="26"/>
      <c r="O17" s="14"/>
      <c r="P17" s="19"/>
      <c r="Q17" s="19"/>
      <c r="R17" s="19"/>
      <c r="S17" s="19"/>
      <c r="T17" s="19"/>
      <c r="U17" s="19"/>
    </row>
    <row r="18" spans="2:21" x14ac:dyDescent="0.25">
      <c r="B18" s="36" t="s">
        <v>42</v>
      </c>
      <c r="C18" s="34" t="s">
        <v>43</v>
      </c>
      <c r="D18" s="34" t="s">
        <v>50</v>
      </c>
      <c r="E18" s="34" t="s">
        <v>44</v>
      </c>
      <c r="F18" s="34" t="s">
        <v>45</v>
      </c>
      <c r="G18" s="41" t="s">
        <v>37</v>
      </c>
      <c r="I18" s="21" t="s">
        <v>3</v>
      </c>
      <c r="J18" s="15">
        <f t="shared" si="1"/>
        <v>0.63636363636363635</v>
      </c>
      <c r="K18" s="3">
        <f t="shared" si="2"/>
        <v>2</v>
      </c>
      <c r="L18" s="19"/>
      <c r="M18" s="14"/>
      <c r="N18" s="26"/>
      <c r="O18" s="14"/>
      <c r="P18" s="19"/>
      <c r="Q18" s="19"/>
      <c r="R18" s="19"/>
      <c r="S18" s="19"/>
      <c r="T18" s="19"/>
      <c r="U18" s="19"/>
    </row>
    <row r="19" spans="2:21" x14ac:dyDescent="0.25">
      <c r="B19" s="37"/>
      <c r="C19" s="44"/>
      <c r="D19" s="44"/>
      <c r="E19" s="44"/>
      <c r="F19" s="44"/>
      <c r="G19" s="42"/>
      <c r="I19" s="21" t="s">
        <v>4</v>
      </c>
      <c r="J19" s="15">
        <f>(G23)/(G15+G23)</f>
        <v>0.54545454545454541</v>
      </c>
      <c r="K19" s="3">
        <f t="shared" si="2"/>
        <v>3</v>
      </c>
      <c r="L19" s="19"/>
      <c r="M19" s="14"/>
      <c r="N19" s="26"/>
      <c r="O19" s="14"/>
      <c r="P19" s="19"/>
      <c r="Q19" s="19"/>
      <c r="R19" s="19"/>
      <c r="S19" s="19"/>
      <c r="T19" s="19"/>
      <c r="U19" s="19"/>
    </row>
    <row r="20" spans="2:21" x14ac:dyDescent="0.25">
      <c r="B20" s="1" t="s">
        <v>1</v>
      </c>
      <c r="C20" s="3">
        <f>ABS($C$8-Agregados!M4)+ABS($D$8-Agregados!N4)</f>
        <v>1</v>
      </c>
      <c r="D20" s="3">
        <f>ABS($E$8-Agregados!O4)+ABS($F$8-Agregados!P4)</f>
        <v>0</v>
      </c>
      <c r="E20" s="3">
        <f>ABS($G$8-Agregados!Q4)+ABS($H$8-Agregados!R4)</f>
        <v>4</v>
      </c>
      <c r="F20" s="3">
        <f>ABS($I$8-Agregados!S4)+ABS($J$8-Agregados!T4)</f>
        <v>1</v>
      </c>
      <c r="G20" s="4">
        <f>SUM(C20:F20)</f>
        <v>6</v>
      </c>
      <c r="I20" s="21" t="s">
        <v>67</v>
      </c>
      <c r="J20" s="15">
        <f>(G24)/(G16+G24)</f>
        <v>1</v>
      </c>
      <c r="K20" s="3">
        <f t="shared" si="2"/>
        <v>1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2:21" x14ac:dyDescent="0.25">
      <c r="B21" s="1" t="s">
        <v>2</v>
      </c>
      <c r="C21" s="3">
        <f>ABS($C$8-Agregados!M5)+ABS($D$8-Agregados!N5)</f>
        <v>3</v>
      </c>
      <c r="D21" s="3">
        <f>ABS($E$8-Agregados!O5)+ABS($F$8-Agregados!P5)</f>
        <v>2</v>
      </c>
      <c r="E21" s="3">
        <f>ABS($G$8-Agregados!Q5)+ABS($H$8-Agregados!R5)</f>
        <v>0</v>
      </c>
      <c r="F21" s="3">
        <f>ABS($I$8-Agregados!S5)+ABS($J$8-Agregados!T5)</f>
        <v>7</v>
      </c>
      <c r="G21" s="4">
        <f t="shared" ref="G21:G23" si="3">SUM(C21:F21)</f>
        <v>12</v>
      </c>
      <c r="I21" s="12"/>
      <c r="J21" s="12"/>
      <c r="K21" s="12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2:21" x14ac:dyDescent="0.25">
      <c r="B22" s="1" t="s">
        <v>3</v>
      </c>
      <c r="C22" s="3">
        <f>ABS($C$8-Agregados!M6)+ABS($D$8-Agregados!N6)</f>
        <v>5</v>
      </c>
      <c r="D22" s="3">
        <f>ABS($E$8-Agregados!O6)+ABS($F$8-Agregados!P6)</f>
        <v>4</v>
      </c>
      <c r="E22" s="3">
        <f>ABS($G$8-Agregados!Q6)+ABS($H$8-Agregados!R6)</f>
        <v>2</v>
      </c>
      <c r="F22" s="3">
        <f>ABS($I$8-Agregados!S6)+ABS($J$8-Agregados!T6)</f>
        <v>3</v>
      </c>
      <c r="G22" s="4">
        <f t="shared" si="3"/>
        <v>14</v>
      </c>
      <c r="I22" s="19"/>
      <c r="J22" s="19"/>
      <c r="K22" s="19"/>
    </row>
    <row r="23" spans="2:21" x14ac:dyDescent="0.25">
      <c r="B23" s="1" t="s">
        <v>4</v>
      </c>
      <c r="C23" s="3">
        <f>ABS($C$8-Agregados!M7)+ABS($D$8-Agregados!N7)</f>
        <v>2</v>
      </c>
      <c r="D23" s="3">
        <f>ABS($E$8-Agregados!O7)+ABS($F$8-Agregados!P7)</f>
        <v>3</v>
      </c>
      <c r="E23" s="3">
        <f>ABS($G$8-Agregados!Q7)+ABS($H$8-Agregados!R7)</f>
        <v>4</v>
      </c>
      <c r="F23" s="3">
        <f>ABS($I$8-Agregados!S7)+ABS($J$8-Agregados!T7)</f>
        <v>3</v>
      </c>
      <c r="G23" s="4">
        <f t="shared" si="3"/>
        <v>12</v>
      </c>
      <c r="I23" s="19"/>
      <c r="J23" s="19"/>
      <c r="K23" s="19"/>
    </row>
    <row r="24" spans="2:21" x14ac:dyDescent="0.25">
      <c r="B24" s="1" t="s">
        <v>67</v>
      </c>
      <c r="C24" s="3">
        <f>ABS($C$8-'Agregados A+'!M8)+ABS($D$8-'Agregados A+'!N8)</f>
        <v>5</v>
      </c>
      <c r="D24" s="3">
        <f>ABS($E$8-'Agregados A+'!O8)+ABS($F$8-'Agregados A+'!P8)</f>
        <v>5</v>
      </c>
      <c r="E24" s="3">
        <f>ABS($G$8-'Agregados A+'!Q8)+ABS($H$8-'Agregados A+'!R8)</f>
        <v>5</v>
      </c>
      <c r="F24" s="3">
        <f>ABS($I$8-'Agregados A+'!S8)+ABS($J$8-'Agregados A+'!T8)</f>
        <v>7</v>
      </c>
      <c r="G24" s="4">
        <f t="shared" ref="G24" si="4">SUM(C24:F24)</f>
        <v>22</v>
      </c>
      <c r="I24" s="19"/>
      <c r="J24" s="19"/>
      <c r="K24" s="19"/>
    </row>
    <row r="25" spans="2:21" x14ac:dyDescent="0.25">
      <c r="I25" s="19"/>
      <c r="J25" s="19"/>
      <c r="K25" s="19"/>
    </row>
    <row r="26" spans="2:21" x14ac:dyDescent="0.25">
      <c r="I26" s="19"/>
      <c r="J26" s="19"/>
      <c r="K26" s="19"/>
    </row>
    <row r="27" spans="2:21" x14ac:dyDescent="0.25">
      <c r="I27" s="19"/>
      <c r="J27" s="19"/>
      <c r="K27" s="19"/>
    </row>
    <row r="28" spans="2:21" x14ac:dyDescent="0.25">
      <c r="I28" s="19"/>
      <c r="J28" s="19"/>
      <c r="K28" s="19"/>
    </row>
    <row r="29" spans="2:21" x14ac:dyDescent="0.25">
      <c r="I29" s="19"/>
      <c r="J29" s="19"/>
      <c r="K29" s="19"/>
    </row>
    <row r="30" spans="2:21" x14ac:dyDescent="0.25">
      <c r="I30" s="25"/>
      <c r="J30" s="25"/>
      <c r="K30" s="25"/>
    </row>
    <row r="31" spans="2:21" x14ac:dyDescent="0.25">
      <c r="I31" s="19"/>
      <c r="J31" s="19"/>
      <c r="K31" s="19"/>
    </row>
    <row r="32" spans="2:21" x14ac:dyDescent="0.25">
      <c r="I32" s="19"/>
      <c r="J32" s="19"/>
      <c r="K32" s="19"/>
    </row>
    <row r="33" spans="9:11" x14ac:dyDescent="0.25">
      <c r="I33" s="19"/>
      <c r="J33" s="19"/>
      <c r="K33" s="19"/>
    </row>
    <row r="34" spans="9:11" x14ac:dyDescent="0.25">
      <c r="I34" s="19"/>
      <c r="J34" s="19"/>
      <c r="K34" s="19"/>
    </row>
    <row r="35" spans="9:11" x14ac:dyDescent="0.25">
      <c r="I35" s="19"/>
      <c r="J35" s="19"/>
      <c r="K35" s="19"/>
    </row>
    <row r="36" spans="9:11" x14ac:dyDescent="0.25">
      <c r="I36" s="19"/>
      <c r="J36" s="19"/>
      <c r="K36" s="19"/>
    </row>
    <row r="37" spans="9:11" x14ac:dyDescent="0.25">
      <c r="I37" s="19"/>
      <c r="J37" s="19"/>
      <c r="K37" s="19"/>
    </row>
    <row r="38" spans="9:11" x14ac:dyDescent="0.25">
      <c r="I38" s="19"/>
      <c r="J38" s="19"/>
      <c r="K38" s="19"/>
    </row>
  </sheetData>
  <mergeCells count="25">
    <mergeCell ref="I2:J2"/>
    <mergeCell ref="B6:B7"/>
    <mergeCell ref="C6:D6"/>
    <mergeCell ref="E6:F6"/>
    <mergeCell ref="G6:H6"/>
    <mergeCell ref="I6:J6"/>
    <mergeCell ref="G10:G11"/>
    <mergeCell ref="B2:B3"/>
    <mergeCell ref="C2:D2"/>
    <mergeCell ref="E2:F2"/>
    <mergeCell ref="G2:H2"/>
    <mergeCell ref="B10:B11"/>
    <mergeCell ref="C10:C11"/>
    <mergeCell ref="D10:D11"/>
    <mergeCell ref="E10:E11"/>
    <mergeCell ref="F10:F11"/>
    <mergeCell ref="I14:I15"/>
    <mergeCell ref="J14:J15"/>
    <mergeCell ref="K14:K15"/>
    <mergeCell ref="B18:B19"/>
    <mergeCell ref="C18:C19"/>
    <mergeCell ref="D18:D19"/>
    <mergeCell ref="E18:E19"/>
    <mergeCell ref="F18:F19"/>
    <mergeCell ref="G18:G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3"/>
  <sheetViews>
    <sheetView zoomScale="130" zoomScaleNormal="130" workbookViewId="0">
      <selection activeCell="N14" sqref="N14"/>
    </sheetView>
  </sheetViews>
  <sheetFormatPr defaultRowHeight="15" x14ac:dyDescent="0.25"/>
  <sheetData>
    <row r="1" spans="2:20" ht="15.75" thickBot="1" x14ac:dyDescent="0.3"/>
    <row r="2" spans="2:20" x14ac:dyDescent="0.25">
      <c r="B2" s="36" t="s">
        <v>0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  <c r="L2" s="36" t="s">
        <v>16</v>
      </c>
      <c r="M2" s="34" t="s">
        <v>5</v>
      </c>
      <c r="N2" s="34"/>
      <c r="O2" s="34" t="s">
        <v>6</v>
      </c>
      <c r="P2" s="34"/>
      <c r="Q2" s="34" t="s">
        <v>7</v>
      </c>
      <c r="R2" s="34"/>
      <c r="S2" s="34" t="s">
        <v>8</v>
      </c>
      <c r="T2" s="35"/>
    </row>
    <row r="3" spans="2:20" ht="18" x14ac:dyDescent="0.35">
      <c r="B3" s="37"/>
      <c r="C3" s="24" t="s">
        <v>14</v>
      </c>
      <c r="D3" s="24" t="s">
        <v>15</v>
      </c>
      <c r="E3" s="24" t="s">
        <v>14</v>
      </c>
      <c r="F3" s="24" t="s">
        <v>15</v>
      </c>
      <c r="G3" s="24" t="s">
        <v>14</v>
      </c>
      <c r="H3" s="24" t="s">
        <v>15</v>
      </c>
      <c r="I3" s="24" t="s">
        <v>14</v>
      </c>
      <c r="J3" s="9" t="s">
        <v>15</v>
      </c>
      <c r="L3" s="37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1" t="s">
        <v>24</v>
      </c>
    </row>
    <row r="4" spans="2:20" x14ac:dyDescent="0.25">
      <c r="B4" s="1" t="s">
        <v>1</v>
      </c>
      <c r="C4" s="3">
        <v>4</v>
      </c>
      <c r="D4" s="3">
        <v>4</v>
      </c>
      <c r="E4" s="3">
        <v>6</v>
      </c>
      <c r="F4" s="3">
        <v>6</v>
      </c>
      <c r="G4" s="3">
        <v>4</v>
      </c>
      <c r="H4" s="3">
        <v>4</v>
      </c>
      <c r="I4" s="3">
        <v>3</v>
      </c>
      <c r="J4" s="4">
        <v>3</v>
      </c>
      <c r="L4" s="1" t="s">
        <v>1</v>
      </c>
      <c r="M4" s="3">
        <f>MIN(MIN(D4,D12),MAX(C4,C12))</f>
        <v>4</v>
      </c>
      <c r="N4" s="3">
        <f>MAX(MIN(D4,D12),MAX(C4,C12))</f>
        <v>4</v>
      </c>
      <c r="O4" s="3">
        <f>MIN(MIN(F4,F12),MAX(E4,E12))</f>
        <v>6</v>
      </c>
      <c r="P4" s="3">
        <f>MAX(MIN(F4,F12),MAX(E4,E12))</f>
        <v>6</v>
      </c>
      <c r="Q4" s="3">
        <f>MIN(MIN(H4,H12),MAX(G4,G12))</f>
        <v>4</v>
      </c>
      <c r="R4" s="3">
        <f>MAX(MIN(H4,H12),MAX(G4,G12))</f>
        <v>4</v>
      </c>
      <c r="S4" s="3">
        <f>MIN(MIN(J4,J12),MAX(I4,I12))</f>
        <v>3</v>
      </c>
      <c r="T4" s="4">
        <f>MAX(MIN(J4,J12),MAX(I4,I12))</f>
        <v>3</v>
      </c>
    </row>
    <row r="5" spans="2:20" x14ac:dyDescent="0.25">
      <c r="B5" s="1" t="s">
        <v>2</v>
      </c>
      <c r="C5" s="3">
        <v>5</v>
      </c>
      <c r="D5" s="3">
        <v>5</v>
      </c>
      <c r="E5" s="3">
        <v>5</v>
      </c>
      <c r="F5" s="3">
        <v>5</v>
      </c>
      <c r="G5" s="3">
        <v>6</v>
      </c>
      <c r="H5" s="3">
        <v>6</v>
      </c>
      <c r="I5" s="3">
        <v>6</v>
      </c>
      <c r="J5" s="4">
        <v>6</v>
      </c>
      <c r="L5" s="1" t="s">
        <v>2</v>
      </c>
      <c r="M5" s="3">
        <f>MIN(MIN(D5,D13),MAX(C5,C13))</f>
        <v>5</v>
      </c>
      <c r="N5" s="3">
        <f>MAX(MIN(D5,D13),MAX(C5,C13))</f>
        <v>5</v>
      </c>
      <c r="O5" s="3">
        <f>MIN(MIN(F5,F13),MAX(E5,E13))</f>
        <v>5</v>
      </c>
      <c r="P5" s="3">
        <f>MAX(MIN(F5,F13),MAX(E5,E13))</f>
        <v>5</v>
      </c>
      <c r="Q5" s="3">
        <f>MIN(MIN(H5,H13),MAX(G5,G13))</f>
        <v>6</v>
      </c>
      <c r="R5" s="3">
        <f>MAX(MIN(H5,H13),MAX(G5,G13))</f>
        <v>6</v>
      </c>
      <c r="S5" s="3">
        <f>MIN(MIN(J5,J13),MAX(I5,I13))</f>
        <v>6</v>
      </c>
      <c r="T5" s="4">
        <f>MAX(MIN(J5,J13),MAX(I5,I13))</f>
        <v>6</v>
      </c>
    </row>
    <row r="6" spans="2:20" x14ac:dyDescent="0.25">
      <c r="B6" s="1" t="s">
        <v>3</v>
      </c>
      <c r="C6" s="3">
        <v>6</v>
      </c>
      <c r="D6" s="3">
        <v>6</v>
      </c>
      <c r="E6" s="3">
        <v>4</v>
      </c>
      <c r="F6" s="3">
        <v>4</v>
      </c>
      <c r="G6" s="3">
        <v>5</v>
      </c>
      <c r="H6" s="3">
        <v>5</v>
      </c>
      <c r="I6" s="3">
        <v>4</v>
      </c>
      <c r="J6" s="4">
        <v>4</v>
      </c>
      <c r="L6" s="1" t="s">
        <v>3</v>
      </c>
      <c r="M6" s="3">
        <f>MIN(MIN(D6,D14),MAX(C6,C14))</f>
        <v>6</v>
      </c>
      <c r="N6" s="3">
        <f>MAX(MIN(D6,D14),MAX(C6,C14))</f>
        <v>6</v>
      </c>
      <c r="O6" s="3">
        <f>MIN(MIN(F6,F14),MAX(E6,E14))</f>
        <v>4</v>
      </c>
      <c r="P6" s="3">
        <f>MAX(MIN(F6,F14),MAX(E6,E14))</f>
        <v>4</v>
      </c>
      <c r="Q6" s="3">
        <f>MIN(MIN(H6,H14),MAX(G6,G14))</f>
        <v>5</v>
      </c>
      <c r="R6" s="3">
        <f>MAX(MIN(H6,H14),MAX(G6,G14))</f>
        <v>5</v>
      </c>
      <c r="S6" s="3">
        <f>MIN(MIN(J6,J14),MAX(I6,I14))</f>
        <v>4</v>
      </c>
      <c r="T6" s="4">
        <f>MAX(MIN(J6,J14),MAX(I6,I14))</f>
        <v>4</v>
      </c>
    </row>
    <row r="7" spans="2:20" x14ac:dyDescent="0.25">
      <c r="B7" s="1" t="s">
        <v>4</v>
      </c>
      <c r="C7" s="3">
        <v>4</v>
      </c>
      <c r="D7" s="3">
        <v>4</v>
      </c>
      <c r="E7" s="3">
        <v>5</v>
      </c>
      <c r="F7" s="3">
        <v>5</v>
      </c>
      <c r="G7" s="3">
        <v>4</v>
      </c>
      <c r="H7" s="3">
        <v>4</v>
      </c>
      <c r="I7" s="3">
        <v>3</v>
      </c>
      <c r="J7" s="4">
        <v>3</v>
      </c>
      <c r="L7" s="1" t="s">
        <v>4</v>
      </c>
      <c r="M7" s="3">
        <f>MIN(MIN(D7,D15),MAX(C7,C15))</f>
        <v>4</v>
      </c>
      <c r="N7" s="3">
        <f>MAX(MIN(D7,D15),MAX(C7,C15))</f>
        <v>5</v>
      </c>
      <c r="O7" s="3">
        <f>MIN(MIN(F7,F15),MAX(E7,E15))</f>
        <v>4</v>
      </c>
      <c r="P7" s="3">
        <f>MAX(MIN(F7,F15),MAX(E7,E15))</f>
        <v>5</v>
      </c>
      <c r="Q7" s="3">
        <f>MIN(MIN(H7,H15),MAX(G7,G15))</f>
        <v>4</v>
      </c>
      <c r="R7" s="3">
        <f>MAX(MIN(H7,H15),MAX(G7,G15))</f>
        <v>4</v>
      </c>
      <c r="S7" s="3">
        <f>MIN(MIN(J7,J15),MAX(I7,I15))</f>
        <v>3</v>
      </c>
      <c r="T7" s="4">
        <f>MAX(MIN(J7,J15),MAX(I7,I15))</f>
        <v>5</v>
      </c>
    </row>
    <row r="8" spans="2:20" x14ac:dyDescent="0.25">
      <c r="B8" s="31" t="s">
        <v>67</v>
      </c>
      <c r="C8" s="3">
        <v>3</v>
      </c>
      <c r="D8" s="3">
        <v>4</v>
      </c>
      <c r="E8" s="3">
        <v>6</v>
      </c>
      <c r="F8" s="3">
        <v>6</v>
      </c>
      <c r="G8" s="3">
        <v>6</v>
      </c>
      <c r="H8" s="3">
        <v>6</v>
      </c>
      <c r="I8" s="3">
        <v>2</v>
      </c>
      <c r="J8" s="3">
        <v>3</v>
      </c>
      <c r="L8" s="30" t="s">
        <v>67</v>
      </c>
      <c r="M8" s="3">
        <f>MIN(MIN(D8,D16),MAX(C8,C16))</f>
        <v>3</v>
      </c>
      <c r="N8" s="3">
        <f>MAX(MIN(D8,D16),MAX(C8,C16))</f>
        <v>4</v>
      </c>
      <c r="O8" s="3">
        <f>MIN(MIN(F8,F16),MAX(E8,E16))</f>
        <v>6</v>
      </c>
      <c r="P8" s="3">
        <f>MAX(MIN(F8,F16),MAX(E8,E16))</f>
        <v>6</v>
      </c>
      <c r="Q8" s="3">
        <f>MIN(MIN(H8,H16),MAX(G8,G16))</f>
        <v>6</v>
      </c>
      <c r="R8" s="3">
        <f>MAX(MIN(H8,H16),MAX(G8,G16))</f>
        <v>6</v>
      </c>
      <c r="S8" s="3">
        <f>MIN(MIN(J8,J16),MAX(I8,I16))</f>
        <v>2</v>
      </c>
      <c r="T8" s="4">
        <f>MAX(MIN(J8,J16),MAX(I8,I16))</f>
        <v>3</v>
      </c>
    </row>
    <row r="9" spans="2:20" ht="15.75" thickBot="1" x14ac:dyDescent="0.3"/>
    <row r="10" spans="2:20" x14ac:dyDescent="0.25">
      <c r="B10" s="36" t="s">
        <v>9</v>
      </c>
      <c r="C10" s="34" t="s">
        <v>5</v>
      </c>
      <c r="D10" s="34"/>
      <c r="E10" s="34" t="s">
        <v>6</v>
      </c>
      <c r="F10" s="34"/>
      <c r="G10" s="34" t="s">
        <v>7</v>
      </c>
      <c r="H10" s="34"/>
      <c r="I10" s="34" t="s">
        <v>8</v>
      </c>
      <c r="J10" s="35"/>
    </row>
    <row r="11" spans="2:20" x14ac:dyDescent="0.25">
      <c r="B11" s="37"/>
      <c r="C11" s="24" t="s">
        <v>14</v>
      </c>
      <c r="D11" s="24" t="s">
        <v>15</v>
      </c>
      <c r="E11" s="24" t="s">
        <v>14</v>
      </c>
      <c r="F11" s="24" t="s">
        <v>15</v>
      </c>
      <c r="G11" s="24" t="s">
        <v>14</v>
      </c>
      <c r="H11" s="24" t="s">
        <v>15</v>
      </c>
      <c r="I11" s="24" t="s">
        <v>14</v>
      </c>
      <c r="J11" s="9" t="s">
        <v>15</v>
      </c>
    </row>
    <row r="12" spans="2:20" x14ac:dyDescent="0.25">
      <c r="B12" s="1" t="s">
        <v>1</v>
      </c>
      <c r="C12" s="3">
        <v>3</v>
      </c>
      <c r="D12" s="3">
        <v>4</v>
      </c>
      <c r="E12" s="3">
        <v>5</v>
      </c>
      <c r="F12" s="3">
        <v>6</v>
      </c>
      <c r="G12" s="3">
        <v>3</v>
      </c>
      <c r="H12" s="3">
        <v>4</v>
      </c>
      <c r="I12" s="3">
        <v>2</v>
      </c>
      <c r="J12" s="4">
        <v>3</v>
      </c>
    </row>
    <row r="13" spans="2:20" x14ac:dyDescent="0.25">
      <c r="B13" s="1" t="s">
        <v>2</v>
      </c>
      <c r="C13" s="3">
        <v>4</v>
      </c>
      <c r="D13" s="3">
        <v>5</v>
      </c>
      <c r="E13" s="3">
        <v>4</v>
      </c>
      <c r="F13" s="3">
        <v>5</v>
      </c>
      <c r="G13" s="3">
        <v>5</v>
      </c>
      <c r="H13" s="3">
        <v>6</v>
      </c>
      <c r="I13" s="3">
        <v>5</v>
      </c>
      <c r="J13" s="4">
        <v>6</v>
      </c>
    </row>
    <row r="14" spans="2:20" x14ac:dyDescent="0.25">
      <c r="B14" s="1" t="s">
        <v>3</v>
      </c>
      <c r="C14" s="3">
        <v>5</v>
      </c>
      <c r="D14" s="3">
        <v>6</v>
      </c>
      <c r="E14" s="3">
        <v>3</v>
      </c>
      <c r="F14" s="3">
        <v>4</v>
      </c>
      <c r="G14" s="3">
        <v>5</v>
      </c>
      <c r="H14" s="3">
        <v>6</v>
      </c>
      <c r="I14" s="3">
        <v>4</v>
      </c>
      <c r="J14" s="4">
        <v>5</v>
      </c>
    </row>
    <row r="15" spans="2:20" x14ac:dyDescent="0.25">
      <c r="B15" s="1" t="s">
        <v>4</v>
      </c>
      <c r="C15" s="3">
        <v>5</v>
      </c>
      <c r="D15" s="3">
        <v>6</v>
      </c>
      <c r="E15" s="3">
        <v>4</v>
      </c>
      <c r="F15" s="3">
        <v>4</v>
      </c>
      <c r="G15" s="3">
        <v>3</v>
      </c>
      <c r="H15" s="3">
        <v>4</v>
      </c>
      <c r="I15" s="3">
        <v>5</v>
      </c>
      <c r="J15" s="4">
        <v>5</v>
      </c>
    </row>
    <row r="16" spans="2:20" x14ac:dyDescent="0.25">
      <c r="B16" s="31" t="s">
        <v>67</v>
      </c>
      <c r="C16" s="3">
        <v>3</v>
      </c>
      <c r="D16" s="3">
        <v>4</v>
      </c>
      <c r="E16" s="3">
        <v>6</v>
      </c>
      <c r="F16" s="3">
        <v>6</v>
      </c>
      <c r="G16" s="3">
        <v>6</v>
      </c>
      <c r="H16" s="3">
        <v>6</v>
      </c>
      <c r="I16" s="3">
        <v>2</v>
      </c>
      <c r="J16" s="3">
        <v>3</v>
      </c>
    </row>
    <row r="17" spans="2:10" x14ac:dyDescent="0.25">
      <c r="B17" s="38"/>
      <c r="C17" s="39"/>
      <c r="D17" s="39"/>
      <c r="E17" s="39"/>
      <c r="F17" s="39"/>
      <c r="G17" s="39"/>
      <c r="H17" s="39"/>
      <c r="I17" s="39"/>
      <c r="J17" s="39"/>
    </row>
    <row r="18" spans="2:10" x14ac:dyDescent="0.25">
      <c r="B18" s="38"/>
      <c r="C18" s="23"/>
      <c r="D18" s="23"/>
      <c r="E18" s="23"/>
      <c r="F18" s="23"/>
      <c r="G18" s="23"/>
      <c r="H18" s="23"/>
      <c r="I18" s="23"/>
      <c r="J18" s="23"/>
    </row>
    <row r="19" spans="2:10" x14ac:dyDescent="0.25">
      <c r="B19" s="14"/>
      <c r="C19" s="14"/>
      <c r="D19" s="14"/>
      <c r="E19" s="14"/>
      <c r="F19" s="14"/>
      <c r="G19" s="14"/>
      <c r="H19" s="14"/>
      <c r="I19" s="14"/>
      <c r="J19" s="14"/>
    </row>
    <row r="20" spans="2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2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2" spans="2:10" x14ac:dyDescent="0.25">
      <c r="B22" s="14"/>
      <c r="C22" s="14"/>
      <c r="D22" s="14"/>
      <c r="E22" s="14"/>
      <c r="F22" s="14"/>
      <c r="G22" s="14"/>
      <c r="H22" s="14"/>
      <c r="I22" s="14"/>
      <c r="J22" s="14"/>
    </row>
    <row r="23" spans="2:10" x14ac:dyDescent="0.25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20">
    <mergeCell ref="M2:N2"/>
    <mergeCell ref="O2:P2"/>
    <mergeCell ref="Q2:R2"/>
    <mergeCell ref="S2:T2"/>
    <mergeCell ref="B10:B11"/>
    <mergeCell ref="C10:D10"/>
    <mergeCell ref="E10:F10"/>
    <mergeCell ref="G10:H10"/>
    <mergeCell ref="I10:J10"/>
    <mergeCell ref="B2:B3"/>
    <mergeCell ref="C2:D2"/>
    <mergeCell ref="E2:F2"/>
    <mergeCell ref="G2:H2"/>
    <mergeCell ref="I2:J2"/>
    <mergeCell ref="L2:L3"/>
    <mergeCell ref="B17:B18"/>
    <mergeCell ref="C17:D17"/>
    <mergeCell ref="E17:F17"/>
    <mergeCell ref="G17:H17"/>
    <mergeCell ref="I17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"/>
  <sheetViews>
    <sheetView zoomScale="130" zoomScaleNormal="130" workbookViewId="0">
      <selection activeCell="H4" sqref="H4"/>
    </sheetView>
  </sheetViews>
  <sheetFormatPr defaultRowHeight="15" x14ac:dyDescent="0.25"/>
  <cols>
    <col min="3" max="6" width="10.140625" bestFit="1" customWidth="1"/>
  </cols>
  <sheetData>
    <row r="1" spans="2:21" ht="15.75" thickBot="1" x14ac:dyDescent="0.3"/>
    <row r="2" spans="2:21" x14ac:dyDescent="0.25">
      <c r="B2" s="36" t="s">
        <v>25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</row>
    <row r="3" spans="2:21" ht="18" x14ac:dyDescent="0.35">
      <c r="B3" s="37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</row>
    <row r="4" spans="2:21" ht="18" thickBot="1" x14ac:dyDescent="0.3">
      <c r="B4" s="2" t="s">
        <v>27</v>
      </c>
      <c r="C4" s="5">
        <f>MAX('Agregados A-'!C4:C8,Agregados!C11:C15)</f>
        <v>6</v>
      </c>
      <c r="D4" s="5">
        <f>MAX('Agregados A-'!D4:D8,Agregados!D11:D15)</f>
        <v>6</v>
      </c>
      <c r="E4" s="5">
        <f>MIN('Agregados A-'!E4:E8,Agregados!E11:E15)</f>
        <v>3</v>
      </c>
      <c r="F4" s="5">
        <f>MIN('Agregados A-'!F4:F8,Agregados!F11:F15)</f>
        <v>4</v>
      </c>
      <c r="G4" s="5">
        <f>MIN('Agregados A-'!G4:G8,Agregados!G11:G15)</f>
        <v>3</v>
      </c>
      <c r="H4" s="5">
        <f>MIN('Agregados A-'!H4:H8,Agregados!H11:H15)</f>
        <v>4</v>
      </c>
      <c r="I4" s="5">
        <f>MAX('Agregados A-'!I4:I8,Agregados!I11:I15)</f>
        <v>6</v>
      </c>
      <c r="J4" s="5">
        <f>MAX('Agregados A-'!J4:J8,Agregados!J11:J15)</f>
        <v>6</v>
      </c>
    </row>
    <row r="5" spans="2:21" ht="15.75" thickBot="1" x14ac:dyDescent="0.3"/>
    <row r="6" spans="2:21" x14ac:dyDescent="0.25">
      <c r="B6" s="36" t="s">
        <v>26</v>
      </c>
      <c r="C6" s="34" t="s">
        <v>5</v>
      </c>
      <c r="D6" s="34"/>
      <c r="E6" s="34" t="s">
        <v>6</v>
      </c>
      <c r="F6" s="34"/>
      <c r="G6" s="34" t="s">
        <v>7</v>
      </c>
      <c r="H6" s="34"/>
      <c r="I6" s="34" t="s">
        <v>8</v>
      </c>
      <c r="J6" s="35"/>
    </row>
    <row r="7" spans="2:21" ht="18" x14ac:dyDescent="0.35">
      <c r="B7" s="37"/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1" t="s">
        <v>36</v>
      </c>
    </row>
    <row r="8" spans="2:21" ht="18" thickBot="1" x14ac:dyDescent="0.3">
      <c r="B8" s="2" t="s">
        <v>28</v>
      </c>
      <c r="C8" s="5">
        <f>MIN('Agregados A-'!C4:C8,Agregados!C11:C15)</f>
        <v>3</v>
      </c>
      <c r="D8" s="5">
        <f>MIN('Agregados A-'!D4:D8,Agregados!D11:D15)</f>
        <v>4</v>
      </c>
      <c r="E8" s="5">
        <f>MAX('Agregados A-'!E4:E8,Agregados!E11:E15)</f>
        <v>6</v>
      </c>
      <c r="F8" s="5">
        <f>MAX('Agregados A-'!F4:F8,Agregados!F11:F15)</f>
        <v>6</v>
      </c>
      <c r="G8" s="5">
        <f>MAX('Agregados A-'!G4:G8,Agregados!G11:G15)</f>
        <v>6</v>
      </c>
      <c r="H8" s="5">
        <f>MAX('Agregados A-'!H4:H8,Agregados!H11:H15)</f>
        <v>6</v>
      </c>
      <c r="I8" s="5">
        <f>MIN('Agregados A-'!I4:I8,Agregados!I11:I15)</f>
        <v>2</v>
      </c>
      <c r="J8" s="5">
        <f>MIN('Agregados A-'!J4:J8,Agregados!J11:J15)</f>
        <v>3</v>
      </c>
    </row>
    <row r="10" spans="2:21" x14ac:dyDescent="0.25">
      <c r="B10" s="43" t="s">
        <v>41</v>
      </c>
      <c r="C10" s="44" t="s">
        <v>38</v>
      </c>
      <c r="D10" s="44" t="s">
        <v>49</v>
      </c>
      <c r="E10" s="44" t="s">
        <v>39</v>
      </c>
      <c r="F10" s="44" t="s">
        <v>40</v>
      </c>
      <c r="G10" s="45" t="s">
        <v>37</v>
      </c>
      <c r="H10" s="12"/>
    </row>
    <row r="11" spans="2:21" x14ac:dyDescent="0.25">
      <c r="B11" s="43"/>
      <c r="C11" s="44"/>
      <c r="D11" s="44"/>
      <c r="E11" s="44"/>
      <c r="F11" s="44"/>
      <c r="G11" s="40"/>
      <c r="H11" s="23"/>
    </row>
    <row r="12" spans="2:21" x14ac:dyDescent="0.25">
      <c r="B12" s="21" t="s">
        <v>1</v>
      </c>
      <c r="C12" s="3">
        <f>ABS($C$4-Agregados!M4)+ABS($D$4-Agregados!N4)</f>
        <v>4</v>
      </c>
      <c r="D12" s="3">
        <f>ABS($E$4-Agregados!O4)+ABS($F$4-Agregados!P4)</f>
        <v>5</v>
      </c>
      <c r="E12" s="3">
        <f>ABS($G$4-Agregados!Q4)+ABS($H$4-Agregados!R4)</f>
        <v>1</v>
      </c>
      <c r="F12" s="3">
        <f>ABS($I$4-Agregados!S4)+ABS($J$4-Agregados!T4)</f>
        <v>6</v>
      </c>
      <c r="G12" s="3">
        <f>SUM(C12:F12)</f>
        <v>16</v>
      </c>
      <c r="H12" s="14"/>
    </row>
    <row r="13" spans="2:21" x14ac:dyDescent="0.25">
      <c r="B13" s="21" t="s">
        <v>2</v>
      </c>
      <c r="C13" s="3">
        <f>ABS($C$4-Agregados!M5)+ABS($D$4-Agregados!N5)</f>
        <v>2</v>
      </c>
      <c r="D13" s="3">
        <f>ABS($E$4-Agregados!O5)+ABS($F$4-Agregados!P5)</f>
        <v>3</v>
      </c>
      <c r="E13" s="3">
        <f>ABS($G$4-Agregados!Q5)+ABS($H$4-Agregados!R5)</f>
        <v>5</v>
      </c>
      <c r="F13" s="3">
        <f>ABS($I$4-Agregados!S5)+ABS($J$4-Agregados!T5)</f>
        <v>0</v>
      </c>
      <c r="G13" s="3">
        <f t="shared" ref="G13:G15" si="0">SUM(C13:F13)</f>
        <v>10</v>
      </c>
      <c r="H13" s="14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2:21" ht="15" customHeight="1" x14ac:dyDescent="0.25">
      <c r="B14" s="21" t="s">
        <v>3</v>
      </c>
      <c r="C14" s="3">
        <f>ABS($C$4-Agregados!M6)+ABS($D$4-Agregados!N6)</f>
        <v>0</v>
      </c>
      <c r="D14" s="3">
        <f>ABS($E$4-Agregados!O6)+ABS($F$4-Agregados!P6)</f>
        <v>1</v>
      </c>
      <c r="E14" s="3">
        <f>ABS($G$4-Agregados!Q6)+ABS($H$4-Agregados!R6)</f>
        <v>3</v>
      </c>
      <c r="F14" s="3">
        <f>ABS($I$4-Agregados!S6)+ABS($J$4-Agregados!T6)</f>
        <v>4</v>
      </c>
      <c r="G14" s="3">
        <f t="shared" si="0"/>
        <v>8</v>
      </c>
      <c r="H14" s="14"/>
      <c r="I14" s="43" t="s">
        <v>48</v>
      </c>
      <c r="J14" s="46" t="s">
        <v>46</v>
      </c>
      <c r="K14" s="40" t="s">
        <v>47</v>
      </c>
      <c r="L14" s="19"/>
      <c r="M14" s="28"/>
      <c r="N14" s="29"/>
      <c r="O14" s="29"/>
      <c r="P14" s="19"/>
      <c r="Q14" s="19"/>
      <c r="R14" s="19"/>
      <c r="S14" s="19"/>
      <c r="T14" s="19"/>
      <c r="U14" s="19"/>
    </row>
    <row r="15" spans="2:21" x14ac:dyDescent="0.25">
      <c r="B15" s="21" t="s">
        <v>4</v>
      </c>
      <c r="C15" s="3">
        <f>ABS($C$4-Agregados!M7)+ABS($D$4-Agregados!N7)</f>
        <v>3</v>
      </c>
      <c r="D15" s="3">
        <f>ABS($E$4-Agregados!O7)+ABS($F$4-Agregados!P7)</f>
        <v>2</v>
      </c>
      <c r="E15" s="3">
        <f>ABS($G$4-Agregados!Q7)+ABS($H$4-Agregados!R7)</f>
        <v>1</v>
      </c>
      <c r="F15" s="3">
        <f>ABS($I$4-Agregados!S7)+ABS($J$4-Agregados!T7)</f>
        <v>4</v>
      </c>
      <c r="G15" s="3">
        <f t="shared" si="0"/>
        <v>10</v>
      </c>
      <c r="H15" s="14"/>
      <c r="I15" s="43"/>
      <c r="J15" s="46"/>
      <c r="K15" s="40"/>
      <c r="L15" s="19"/>
      <c r="M15" s="28"/>
      <c r="N15" s="29"/>
      <c r="O15" s="29"/>
      <c r="P15" s="19"/>
      <c r="Q15" s="19"/>
      <c r="R15" s="19"/>
      <c r="S15" s="19"/>
      <c r="T15" s="19"/>
      <c r="U15" s="19"/>
    </row>
    <row r="16" spans="2:21" x14ac:dyDescent="0.25">
      <c r="B16" s="21" t="s">
        <v>67</v>
      </c>
      <c r="C16" s="3">
        <f>ABS($C$4-'Agregados A-'!M8)+ABS($D$4-'Agregados A-'!N8)</f>
        <v>5</v>
      </c>
      <c r="D16" s="3">
        <f>ABS($E$4-'Agregados A-'!O8)+ABS($F$4-'Agregados A-'!P8)</f>
        <v>5</v>
      </c>
      <c r="E16" s="3">
        <f>ABS($G$4-'Agregados A-'!Q8)+ABS($H$4-'Agregados A-'!R8)</f>
        <v>5</v>
      </c>
      <c r="F16" s="3">
        <f>ABS($I$4-'Agregados A-'!S8)+ABS($J$4-'Agregados A-'!T8)</f>
        <v>7</v>
      </c>
      <c r="G16" s="3">
        <f>SUM(C16:F16)</f>
        <v>22</v>
      </c>
      <c r="H16" s="14"/>
      <c r="I16" s="21" t="s">
        <v>1</v>
      </c>
      <c r="J16" s="15">
        <f>(G20)/(G12+G20)</f>
        <v>0.27272727272727271</v>
      </c>
      <c r="K16" s="3">
        <f>RANK(J16,$J$16:$J$20)</f>
        <v>4</v>
      </c>
      <c r="L16" s="19"/>
      <c r="M16" s="14"/>
      <c r="N16" s="26"/>
      <c r="O16" s="14"/>
      <c r="P16" s="19"/>
      <c r="Q16" s="19"/>
      <c r="R16" s="19"/>
      <c r="S16" s="19"/>
      <c r="T16" s="19"/>
      <c r="U16" s="19"/>
    </row>
    <row r="17" spans="2:21" ht="15.75" thickBot="1" x14ac:dyDescent="0.3">
      <c r="I17" s="21" t="s">
        <v>2</v>
      </c>
      <c r="J17" s="15">
        <f t="shared" ref="J17:J18" si="1">(G21)/(G13+G21)</f>
        <v>0.54545454545454541</v>
      </c>
      <c r="K17" s="3">
        <f t="shared" ref="K17:K20" si="2">RANK(J17,$J$16:$J$20)</f>
        <v>2</v>
      </c>
      <c r="L17" s="19"/>
      <c r="M17" s="14"/>
      <c r="N17" s="26"/>
      <c r="O17" s="14"/>
      <c r="P17" s="19"/>
      <c r="Q17" s="19"/>
      <c r="R17" s="19"/>
      <c r="S17" s="19"/>
      <c r="T17" s="19"/>
      <c r="U17" s="19"/>
    </row>
    <row r="18" spans="2:21" x14ac:dyDescent="0.25">
      <c r="B18" s="36" t="s">
        <v>42</v>
      </c>
      <c r="C18" s="34" t="s">
        <v>43</v>
      </c>
      <c r="D18" s="34" t="s">
        <v>50</v>
      </c>
      <c r="E18" s="34" t="s">
        <v>44</v>
      </c>
      <c r="F18" s="34" t="s">
        <v>45</v>
      </c>
      <c r="G18" s="41" t="s">
        <v>37</v>
      </c>
      <c r="I18" s="21" t="s">
        <v>3</v>
      </c>
      <c r="J18" s="15">
        <f t="shared" si="1"/>
        <v>0.63636363636363635</v>
      </c>
      <c r="K18" s="3">
        <f t="shared" si="2"/>
        <v>1</v>
      </c>
      <c r="L18" s="19"/>
      <c r="M18" s="14"/>
      <c r="N18" s="26"/>
      <c r="O18" s="14"/>
      <c r="P18" s="19"/>
      <c r="Q18" s="19"/>
      <c r="R18" s="19"/>
      <c r="S18" s="19"/>
      <c r="T18" s="19"/>
      <c r="U18" s="19"/>
    </row>
    <row r="19" spans="2:21" x14ac:dyDescent="0.25">
      <c r="B19" s="37"/>
      <c r="C19" s="44"/>
      <c r="D19" s="44"/>
      <c r="E19" s="44"/>
      <c r="F19" s="44"/>
      <c r="G19" s="42"/>
      <c r="I19" s="21" t="s">
        <v>4</v>
      </c>
      <c r="J19" s="15">
        <f>(G23)/(G15+G23)</f>
        <v>0.54545454545454541</v>
      </c>
      <c r="K19" s="3">
        <f t="shared" si="2"/>
        <v>2</v>
      </c>
      <c r="L19" s="19"/>
      <c r="M19" s="14"/>
      <c r="N19" s="26"/>
      <c r="O19" s="14"/>
      <c r="P19" s="19"/>
      <c r="Q19" s="19"/>
      <c r="R19" s="19"/>
      <c r="S19" s="19"/>
      <c r="T19" s="19"/>
      <c r="U19" s="19"/>
    </row>
    <row r="20" spans="2:21" x14ac:dyDescent="0.25">
      <c r="B20" s="1" t="s">
        <v>1</v>
      </c>
      <c r="C20" s="3">
        <f>ABS($C$8-Agregados!M4)+ABS($D$8-Agregados!N4)</f>
        <v>1</v>
      </c>
      <c r="D20" s="3">
        <f>ABS($E$8-Agregados!O4)+ABS($F$8-Agregados!P4)</f>
        <v>0</v>
      </c>
      <c r="E20" s="3">
        <f>ABS($G$8-Agregados!Q4)+ABS($H$8-Agregados!R4)</f>
        <v>4</v>
      </c>
      <c r="F20" s="3">
        <f>ABS($I$8-Agregados!S4)+ABS($J$8-Agregados!T4)</f>
        <v>1</v>
      </c>
      <c r="G20" s="4">
        <f>SUM(C20:F20)</f>
        <v>6</v>
      </c>
      <c r="I20" s="21" t="s">
        <v>67</v>
      </c>
      <c r="J20" s="15">
        <f>(G24)/(G16+G24)</f>
        <v>0</v>
      </c>
      <c r="K20" s="3">
        <f t="shared" si="2"/>
        <v>5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2:21" x14ac:dyDescent="0.25">
      <c r="B21" s="1" t="s">
        <v>2</v>
      </c>
      <c r="C21" s="3">
        <f>ABS($C$8-Agregados!M5)+ABS($D$8-Agregados!N5)</f>
        <v>3</v>
      </c>
      <c r="D21" s="3">
        <f>ABS($E$8-Agregados!O5)+ABS($F$8-Agregados!P5)</f>
        <v>2</v>
      </c>
      <c r="E21" s="3">
        <f>ABS($G$8-Agregados!Q5)+ABS($H$8-Agregados!R5)</f>
        <v>0</v>
      </c>
      <c r="F21" s="3">
        <f>ABS($I$8-Agregados!S5)+ABS($J$8-Agregados!T5)</f>
        <v>7</v>
      </c>
      <c r="G21" s="4">
        <f t="shared" ref="G21:G24" si="3">SUM(C21:F21)</f>
        <v>12</v>
      </c>
      <c r="I21" s="12"/>
      <c r="J21" s="12"/>
      <c r="K21" s="12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2:21" x14ac:dyDescent="0.25">
      <c r="B22" s="1" t="s">
        <v>3</v>
      </c>
      <c r="C22" s="3">
        <f>ABS($C$8-Agregados!M6)+ABS($D$8-Agregados!N6)</f>
        <v>5</v>
      </c>
      <c r="D22" s="3">
        <f>ABS($E$8-Agregados!O6)+ABS($F$8-Agregados!P6)</f>
        <v>4</v>
      </c>
      <c r="E22" s="3">
        <f>ABS($G$8-Agregados!Q6)+ABS($H$8-Agregados!R6)</f>
        <v>2</v>
      </c>
      <c r="F22" s="3">
        <f>ABS($I$8-Agregados!S6)+ABS($J$8-Agregados!T6)</f>
        <v>3</v>
      </c>
      <c r="G22" s="4">
        <f t="shared" si="3"/>
        <v>14</v>
      </c>
      <c r="I22" s="19"/>
      <c r="J22" s="19"/>
      <c r="K22" s="19"/>
    </row>
    <row r="23" spans="2:21" x14ac:dyDescent="0.25">
      <c r="B23" s="1" t="s">
        <v>4</v>
      </c>
      <c r="C23" s="3">
        <f>ABS($C$8-Agregados!M7)+ABS($D$8-Agregados!N7)</f>
        <v>2</v>
      </c>
      <c r="D23" s="3">
        <f>ABS($E$8-Agregados!O7)+ABS($F$8-Agregados!P7)</f>
        <v>3</v>
      </c>
      <c r="E23" s="3">
        <f>ABS($G$8-Agregados!Q7)+ABS($H$8-Agregados!R7)</f>
        <v>4</v>
      </c>
      <c r="F23" s="3">
        <f>ABS($I$8-Agregados!S7)+ABS($J$8-Agregados!T7)</f>
        <v>3</v>
      </c>
      <c r="G23" s="4">
        <f t="shared" si="3"/>
        <v>12</v>
      </c>
      <c r="I23" s="19"/>
      <c r="J23" s="19"/>
      <c r="K23" s="19"/>
    </row>
    <row r="24" spans="2:21" x14ac:dyDescent="0.25">
      <c r="B24" s="1" t="s">
        <v>67</v>
      </c>
      <c r="C24" s="3">
        <f>ABS($C$8-'Agregados A-'!M8)+ABS($D$8-'Agregados A-'!N8)</f>
        <v>0</v>
      </c>
      <c r="D24" s="3">
        <f>ABS($E$8-'Agregados A-'!O8)+ABS($F$8-'Agregados A-'!P8)</f>
        <v>0</v>
      </c>
      <c r="E24" s="3">
        <f>ABS($G$8-'Agregados A-'!Q8)+ABS($H$8-'Agregados A-'!R8)</f>
        <v>0</v>
      </c>
      <c r="F24" s="3">
        <f>ABS($I$8-'Agregados A-'!S8)+ABS($J$8-'Agregados A-'!T8)</f>
        <v>0</v>
      </c>
      <c r="G24" s="4">
        <f t="shared" si="3"/>
        <v>0</v>
      </c>
      <c r="I24" s="19"/>
      <c r="J24" s="19"/>
      <c r="K24" s="19"/>
    </row>
    <row r="25" spans="2:21" x14ac:dyDescent="0.25">
      <c r="I25" s="19"/>
      <c r="J25" s="19"/>
      <c r="K25" s="19"/>
    </row>
    <row r="26" spans="2:21" x14ac:dyDescent="0.25">
      <c r="I26" s="19"/>
      <c r="J26" s="19"/>
      <c r="K26" s="19"/>
    </row>
    <row r="27" spans="2:21" x14ac:dyDescent="0.25">
      <c r="I27" s="19"/>
      <c r="J27" s="19"/>
      <c r="K27" s="19"/>
    </row>
    <row r="28" spans="2:21" x14ac:dyDescent="0.25">
      <c r="I28" s="19"/>
      <c r="J28" s="19"/>
      <c r="K28" s="19"/>
    </row>
    <row r="29" spans="2:21" x14ac:dyDescent="0.25">
      <c r="I29" s="19"/>
      <c r="J29" s="19"/>
      <c r="K29" s="19"/>
    </row>
    <row r="30" spans="2:21" x14ac:dyDescent="0.25">
      <c r="I30" s="25"/>
      <c r="J30" s="25"/>
      <c r="K30" s="25"/>
    </row>
    <row r="31" spans="2:21" x14ac:dyDescent="0.25">
      <c r="I31" s="19"/>
      <c r="J31" s="19"/>
      <c r="K31" s="19"/>
    </row>
    <row r="32" spans="2:21" x14ac:dyDescent="0.25">
      <c r="I32" s="19"/>
      <c r="J32" s="19"/>
      <c r="K32" s="19"/>
    </row>
    <row r="33" spans="9:11" x14ac:dyDescent="0.25">
      <c r="I33" s="19"/>
      <c r="J33" s="19"/>
      <c r="K33" s="19"/>
    </row>
    <row r="34" spans="9:11" x14ac:dyDescent="0.25">
      <c r="I34" s="19"/>
      <c r="J34" s="19"/>
      <c r="K34" s="19"/>
    </row>
    <row r="35" spans="9:11" x14ac:dyDescent="0.25">
      <c r="I35" s="19"/>
      <c r="J35" s="19"/>
      <c r="K35" s="19"/>
    </row>
    <row r="36" spans="9:11" x14ac:dyDescent="0.25">
      <c r="I36" s="19"/>
      <c r="J36" s="19"/>
      <c r="K36" s="19"/>
    </row>
    <row r="37" spans="9:11" x14ac:dyDescent="0.25">
      <c r="I37" s="19"/>
      <c r="J37" s="19"/>
      <c r="K37" s="19"/>
    </row>
    <row r="38" spans="9:11" x14ac:dyDescent="0.25">
      <c r="I38" s="19"/>
      <c r="J38" s="19"/>
      <c r="K38" s="19"/>
    </row>
  </sheetData>
  <mergeCells count="25">
    <mergeCell ref="I2:J2"/>
    <mergeCell ref="B6:B7"/>
    <mergeCell ref="C6:D6"/>
    <mergeCell ref="E6:F6"/>
    <mergeCell ref="G6:H6"/>
    <mergeCell ref="I6:J6"/>
    <mergeCell ref="G10:G11"/>
    <mergeCell ref="B2:B3"/>
    <mergeCell ref="C2:D2"/>
    <mergeCell ref="E2:F2"/>
    <mergeCell ref="G2:H2"/>
    <mergeCell ref="B10:B11"/>
    <mergeCell ref="C10:C11"/>
    <mergeCell ref="D10:D11"/>
    <mergeCell ref="E10:E11"/>
    <mergeCell ref="F10:F11"/>
    <mergeCell ref="I14:I15"/>
    <mergeCell ref="J14:J15"/>
    <mergeCell ref="K14:K15"/>
    <mergeCell ref="B18:B19"/>
    <mergeCell ref="C18:C19"/>
    <mergeCell ref="D18:D19"/>
    <mergeCell ref="E18:E19"/>
    <mergeCell ref="F18:F19"/>
    <mergeCell ref="G18:G1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3"/>
  <sheetViews>
    <sheetView zoomScale="130" zoomScaleNormal="130" workbookViewId="0">
      <selection activeCell="N12" sqref="N12"/>
    </sheetView>
  </sheetViews>
  <sheetFormatPr defaultRowHeight="15" x14ac:dyDescent="0.25"/>
  <sheetData>
    <row r="1" spans="2:20" ht="15.75" thickBot="1" x14ac:dyDescent="0.3"/>
    <row r="2" spans="2:20" x14ac:dyDescent="0.25">
      <c r="B2" s="36" t="s">
        <v>0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  <c r="L2" s="36" t="s">
        <v>16</v>
      </c>
      <c r="M2" s="34" t="s">
        <v>5</v>
      </c>
      <c r="N2" s="34"/>
      <c r="O2" s="34" t="s">
        <v>6</v>
      </c>
      <c r="P2" s="34"/>
      <c r="Q2" s="34" t="s">
        <v>7</v>
      </c>
      <c r="R2" s="34"/>
      <c r="S2" s="34" t="s">
        <v>8</v>
      </c>
      <c r="T2" s="35"/>
    </row>
    <row r="3" spans="2:20" ht="18" x14ac:dyDescent="0.35">
      <c r="B3" s="37"/>
      <c r="C3" s="33" t="s">
        <v>14</v>
      </c>
      <c r="D3" s="33" t="s">
        <v>15</v>
      </c>
      <c r="E3" s="33" t="s">
        <v>14</v>
      </c>
      <c r="F3" s="33" t="s">
        <v>15</v>
      </c>
      <c r="G3" s="33" t="s">
        <v>14</v>
      </c>
      <c r="H3" s="33" t="s">
        <v>15</v>
      </c>
      <c r="I3" s="33" t="s">
        <v>14</v>
      </c>
      <c r="J3" s="9" t="s">
        <v>15</v>
      </c>
      <c r="L3" s="37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1" t="s">
        <v>24</v>
      </c>
    </row>
    <row r="4" spans="2:20" x14ac:dyDescent="0.25">
      <c r="B4" s="1" t="s">
        <v>1</v>
      </c>
      <c r="C4" s="3">
        <v>4</v>
      </c>
      <c r="D4" s="3">
        <v>4</v>
      </c>
      <c r="E4" s="3">
        <v>6</v>
      </c>
      <c r="F4" s="3">
        <v>6</v>
      </c>
      <c r="G4" s="3">
        <v>4</v>
      </c>
      <c r="H4" s="3">
        <v>4</v>
      </c>
      <c r="I4" s="3">
        <v>3</v>
      </c>
      <c r="J4" s="4">
        <v>3</v>
      </c>
      <c r="L4" s="1" t="s">
        <v>1</v>
      </c>
      <c r="M4" s="3">
        <f>MIN(MIN(D4,D12),MAX(C4,C12))</f>
        <v>4</v>
      </c>
      <c r="N4" s="3">
        <f>MAX(MIN(D4,D12),MAX(C4,C12))</f>
        <v>4</v>
      </c>
      <c r="O4" s="3">
        <f>MIN(MIN(F4,F12),MAX(E4,E12))</f>
        <v>6</v>
      </c>
      <c r="P4" s="3">
        <f>MAX(MIN(F4,F12),MAX(E4,E12))</f>
        <v>6</v>
      </c>
      <c r="Q4" s="3">
        <f>MIN(MIN(H4,H12),MAX(G4,G12))</f>
        <v>4</v>
      </c>
      <c r="R4" s="3">
        <f>MAX(MIN(H4,H12),MAX(G4,G12))</f>
        <v>4</v>
      </c>
      <c r="S4" s="3">
        <f>MIN(MIN(J4,J12),MAX(I4,I12))</f>
        <v>3</v>
      </c>
      <c r="T4" s="4">
        <f>MAX(MIN(J4,J12),MAX(I4,I12))</f>
        <v>3</v>
      </c>
    </row>
    <row r="5" spans="2:20" x14ac:dyDescent="0.25">
      <c r="B5" s="1" t="s">
        <v>2</v>
      </c>
      <c r="C5" s="3">
        <v>5</v>
      </c>
      <c r="D5" s="3">
        <v>5</v>
      </c>
      <c r="E5" s="3">
        <v>5</v>
      </c>
      <c r="F5" s="3">
        <v>5</v>
      </c>
      <c r="G5" s="3">
        <v>6</v>
      </c>
      <c r="H5" s="3">
        <v>6</v>
      </c>
      <c r="I5" s="3">
        <v>6</v>
      </c>
      <c r="J5" s="4">
        <v>6</v>
      </c>
      <c r="L5" s="1" t="s">
        <v>2</v>
      </c>
      <c r="M5" s="3">
        <f>MIN(MIN(D5,D13),MAX(C5,C13))</f>
        <v>5</v>
      </c>
      <c r="N5" s="3">
        <f>MAX(MIN(D5,D13),MAX(C5,C13))</f>
        <v>5</v>
      </c>
      <c r="O5" s="3">
        <f>MIN(MIN(F5,F13),MAX(E5,E13))</f>
        <v>5</v>
      </c>
      <c r="P5" s="3">
        <f>MAX(MIN(F5,F13),MAX(E5,E13))</f>
        <v>5</v>
      </c>
      <c r="Q5" s="3">
        <f>MIN(MIN(H5,H13),MAX(G5,G13))</f>
        <v>6</v>
      </c>
      <c r="R5" s="3">
        <f>MAX(MIN(H5,H13),MAX(G5,G13))</f>
        <v>6</v>
      </c>
      <c r="S5" s="3">
        <f>MIN(MIN(J5,J13),MAX(I5,I13))</f>
        <v>6</v>
      </c>
      <c r="T5" s="4">
        <f>MAX(MIN(J5,J13),MAX(I5,I13))</f>
        <v>6</v>
      </c>
    </row>
    <row r="6" spans="2:20" x14ac:dyDescent="0.25">
      <c r="B6" s="1" t="s">
        <v>3</v>
      </c>
      <c r="C6" s="3">
        <v>6</v>
      </c>
      <c r="D6" s="3">
        <v>6</v>
      </c>
      <c r="E6" s="3">
        <v>4</v>
      </c>
      <c r="F6" s="3">
        <v>4</v>
      </c>
      <c r="G6" s="3">
        <v>5</v>
      </c>
      <c r="H6" s="3">
        <v>5</v>
      </c>
      <c r="I6" s="3">
        <v>4</v>
      </c>
      <c r="J6" s="4">
        <v>4</v>
      </c>
      <c r="L6" s="1" t="s">
        <v>3</v>
      </c>
      <c r="M6" s="3">
        <f>MIN(MIN(D6,D14),MAX(C6,C14))</f>
        <v>6</v>
      </c>
      <c r="N6" s="3">
        <f>MAX(MIN(D6,D14),MAX(C6,C14))</f>
        <v>6</v>
      </c>
      <c r="O6" s="3">
        <f>MIN(MIN(F6,F14),MAX(E6,E14))</f>
        <v>4</v>
      </c>
      <c r="P6" s="3">
        <f>MAX(MIN(F6,F14),MAX(E6,E14))</f>
        <v>4</v>
      </c>
      <c r="Q6" s="3">
        <f>MIN(MIN(H6,H14),MAX(G6,G14))</f>
        <v>5</v>
      </c>
      <c r="R6" s="3">
        <f>MAX(MIN(H6,H14),MAX(G6,G14))</f>
        <v>5</v>
      </c>
      <c r="S6" s="3">
        <f>MIN(MIN(J6,J14),MAX(I6,I14))</f>
        <v>4</v>
      </c>
      <c r="T6" s="4">
        <f>MAX(MIN(J6,J14),MAX(I6,I14))</f>
        <v>4</v>
      </c>
    </row>
    <row r="7" spans="2:20" x14ac:dyDescent="0.25">
      <c r="B7" s="1" t="s">
        <v>4</v>
      </c>
      <c r="C7" s="3">
        <v>4</v>
      </c>
      <c r="D7" s="3">
        <v>4</v>
      </c>
      <c r="E7" s="3">
        <v>5</v>
      </c>
      <c r="F7" s="3">
        <v>5</v>
      </c>
      <c r="G7" s="3">
        <v>4</v>
      </c>
      <c r="H7" s="3">
        <v>4</v>
      </c>
      <c r="I7" s="3">
        <v>3</v>
      </c>
      <c r="J7" s="4">
        <v>3</v>
      </c>
      <c r="L7" s="1" t="s">
        <v>4</v>
      </c>
      <c r="M7" s="3">
        <f>MIN(MIN(D7,D15),MAX(C7,C15))</f>
        <v>4</v>
      </c>
      <c r="N7" s="3">
        <f>MAX(MIN(D7,D15),MAX(C7,C15))</f>
        <v>5</v>
      </c>
      <c r="O7" s="3">
        <f>MIN(MIN(F7,F15),MAX(E7,E15))</f>
        <v>4</v>
      </c>
      <c r="P7" s="3">
        <f>MAX(MIN(F7,F15),MAX(E7,E15))</f>
        <v>5</v>
      </c>
      <c r="Q7" s="3">
        <f>MIN(MIN(H7,H15),MAX(G7,G15))</f>
        <v>4</v>
      </c>
      <c r="R7" s="3">
        <f>MAX(MIN(H7,H15),MAX(G7,G15))</f>
        <v>4</v>
      </c>
      <c r="S7" s="3">
        <f>MIN(MIN(J7,J15),MAX(I7,I15))</f>
        <v>3</v>
      </c>
      <c r="T7" s="4">
        <f>MAX(MIN(J7,J15),MAX(I7,I15))</f>
        <v>5</v>
      </c>
    </row>
    <row r="8" spans="2:20" x14ac:dyDescent="0.25">
      <c r="B8" s="31" t="s">
        <v>68</v>
      </c>
      <c r="C8" s="3">
        <f>C6</f>
        <v>6</v>
      </c>
      <c r="D8" s="3">
        <f t="shared" ref="D8:J8" si="0">D6</f>
        <v>6</v>
      </c>
      <c r="E8" s="3">
        <f t="shared" si="0"/>
        <v>4</v>
      </c>
      <c r="F8" s="3">
        <f t="shared" si="0"/>
        <v>4</v>
      </c>
      <c r="G8" s="3">
        <f t="shared" si="0"/>
        <v>5</v>
      </c>
      <c r="H8" s="3">
        <f t="shared" si="0"/>
        <v>5</v>
      </c>
      <c r="I8" s="3">
        <f t="shared" si="0"/>
        <v>4</v>
      </c>
      <c r="J8" s="3">
        <f t="shared" si="0"/>
        <v>4</v>
      </c>
      <c r="L8" s="30" t="s">
        <v>67</v>
      </c>
      <c r="M8" s="3">
        <f>MIN(MIN(D8,D16),MAX(C8,C16))</f>
        <v>6</v>
      </c>
      <c r="N8" s="3">
        <f>MAX(MIN(D8,D16),MAX(C8,C16))</f>
        <v>6</v>
      </c>
      <c r="O8" s="3">
        <f>MIN(MIN(F8,F16),MAX(E8,E16))</f>
        <v>4</v>
      </c>
      <c r="P8" s="3">
        <f>MAX(MIN(F8,F16),MAX(E8,E16))</f>
        <v>4</v>
      </c>
      <c r="Q8" s="3">
        <f>MIN(MIN(H8,H16),MAX(G8,G16))</f>
        <v>5</v>
      </c>
      <c r="R8" s="3">
        <f>MAX(MIN(H8,H16),MAX(G8,G16))</f>
        <v>5</v>
      </c>
      <c r="S8" s="3">
        <f>MIN(MIN(J8,J16),MAX(I8,I16))</f>
        <v>4</v>
      </c>
      <c r="T8" s="4">
        <f>MAX(MIN(J8,J16),MAX(I8,I16))</f>
        <v>4</v>
      </c>
    </row>
    <row r="9" spans="2:20" ht="15.75" thickBot="1" x14ac:dyDescent="0.3"/>
    <row r="10" spans="2:20" x14ac:dyDescent="0.25">
      <c r="B10" s="36" t="s">
        <v>9</v>
      </c>
      <c r="C10" s="34" t="s">
        <v>5</v>
      </c>
      <c r="D10" s="34"/>
      <c r="E10" s="34" t="s">
        <v>6</v>
      </c>
      <c r="F10" s="34"/>
      <c r="G10" s="34" t="s">
        <v>7</v>
      </c>
      <c r="H10" s="34"/>
      <c r="I10" s="34" t="s">
        <v>8</v>
      </c>
      <c r="J10" s="35"/>
    </row>
    <row r="11" spans="2:20" x14ac:dyDescent="0.25">
      <c r="B11" s="37"/>
      <c r="C11" s="33" t="s">
        <v>14</v>
      </c>
      <c r="D11" s="33" t="s">
        <v>15</v>
      </c>
      <c r="E11" s="33" t="s">
        <v>14</v>
      </c>
      <c r="F11" s="33" t="s">
        <v>15</v>
      </c>
      <c r="G11" s="33" t="s">
        <v>14</v>
      </c>
      <c r="H11" s="33" t="s">
        <v>15</v>
      </c>
      <c r="I11" s="33" t="s">
        <v>14</v>
      </c>
      <c r="J11" s="9" t="s">
        <v>15</v>
      </c>
    </row>
    <row r="12" spans="2:20" x14ac:dyDescent="0.25">
      <c r="B12" s="1" t="s">
        <v>1</v>
      </c>
      <c r="C12" s="3">
        <v>3</v>
      </c>
      <c r="D12" s="3">
        <v>4</v>
      </c>
      <c r="E12" s="3">
        <v>5</v>
      </c>
      <c r="F12" s="3">
        <v>6</v>
      </c>
      <c r="G12" s="3">
        <v>3</v>
      </c>
      <c r="H12" s="3">
        <v>4</v>
      </c>
      <c r="I12" s="3">
        <v>2</v>
      </c>
      <c r="J12" s="4">
        <v>3</v>
      </c>
    </row>
    <row r="13" spans="2:20" x14ac:dyDescent="0.25">
      <c r="B13" s="1" t="s">
        <v>2</v>
      </c>
      <c r="C13" s="3">
        <v>4</v>
      </c>
      <c r="D13" s="3">
        <v>5</v>
      </c>
      <c r="E13" s="3">
        <v>4</v>
      </c>
      <c r="F13" s="3">
        <v>5</v>
      </c>
      <c r="G13" s="3">
        <v>5</v>
      </c>
      <c r="H13" s="3">
        <v>6</v>
      </c>
      <c r="I13" s="3">
        <v>5</v>
      </c>
      <c r="J13" s="4">
        <v>6</v>
      </c>
    </row>
    <row r="14" spans="2:20" x14ac:dyDescent="0.25">
      <c r="B14" s="1" t="s">
        <v>3</v>
      </c>
      <c r="C14" s="3">
        <v>5</v>
      </c>
      <c r="D14" s="3">
        <v>6</v>
      </c>
      <c r="E14" s="3">
        <v>3</v>
      </c>
      <c r="F14" s="3">
        <v>4</v>
      </c>
      <c r="G14" s="3">
        <v>5</v>
      </c>
      <c r="H14" s="3">
        <v>6</v>
      </c>
      <c r="I14" s="3">
        <v>4</v>
      </c>
      <c r="J14" s="4">
        <v>5</v>
      </c>
    </row>
    <row r="15" spans="2:20" x14ac:dyDescent="0.25">
      <c r="B15" s="1" t="s">
        <v>4</v>
      </c>
      <c r="C15" s="3">
        <v>5</v>
      </c>
      <c r="D15" s="3">
        <v>6</v>
      </c>
      <c r="E15" s="3">
        <v>4</v>
      </c>
      <c r="F15" s="3">
        <v>4</v>
      </c>
      <c r="G15" s="3">
        <v>3</v>
      </c>
      <c r="H15" s="3">
        <v>4</v>
      </c>
      <c r="I15" s="3">
        <v>5</v>
      </c>
      <c r="J15" s="4">
        <v>5</v>
      </c>
    </row>
    <row r="16" spans="2:20" x14ac:dyDescent="0.25">
      <c r="B16" s="31" t="s">
        <v>68</v>
      </c>
      <c r="C16" s="3">
        <f>C14</f>
        <v>5</v>
      </c>
      <c r="D16" s="3">
        <f t="shared" ref="D16:J16" si="1">D14</f>
        <v>6</v>
      </c>
      <c r="E16" s="3">
        <f t="shared" si="1"/>
        <v>3</v>
      </c>
      <c r="F16" s="3">
        <f t="shared" si="1"/>
        <v>4</v>
      </c>
      <c r="G16" s="3">
        <f t="shared" si="1"/>
        <v>5</v>
      </c>
      <c r="H16" s="3">
        <f t="shared" si="1"/>
        <v>6</v>
      </c>
      <c r="I16" s="3">
        <f t="shared" si="1"/>
        <v>4</v>
      </c>
      <c r="J16" s="3">
        <f t="shared" si="1"/>
        <v>5</v>
      </c>
    </row>
    <row r="17" spans="2:10" x14ac:dyDescent="0.25">
      <c r="B17" s="38"/>
      <c r="C17" s="39"/>
      <c r="D17" s="39"/>
      <c r="E17" s="39"/>
      <c r="F17" s="39"/>
      <c r="G17" s="39"/>
      <c r="H17" s="39"/>
      <c r="I17" s="39"/>
      <c r="J17" s="39"/>
    </row>
    <row r="18" spans="2:10" x14ac:dyDescent="0.25">
      <c r="B18" s="38"/>
      <c r="C18" s="32"/>
      <c r="D18" s="32"/>
      <c r="E18" s="32"/>
      <c r="F18" s="32"/>
      <c r="G18" s="32"/>
      <c r="H18" s="32"/>
      <c r="I18" s="32"/>
      <c r="J18" s="32"/>
    </row>
    <row r="19" spans="2:10" x14ac:dyDescent="0.25">
      <c r="B19" s="14"/>
      <c r="C19" s="14"/>
      <c r="D19" s="14"/>
      <c r="E19" s="14"/>
      <c r="F19" s="14"/>
      <c r="G19" s="14"/>
      <c r="H19" s="14"/>
      <c r="I19" s="14"/>
      <c r="J19" s="14"/>
    </row>
    <row r="20" spans="2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2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2" spans="2:10" x14ac:dyDescent="0.25">
      <c r="B22" s="14"/>
      <c r="C22" s="14"/>
      <c r="D22" s="14"/>
      <c r="E22" s="14"/>
      <c r="F22" s="14"/>
      <c r="G22" s="14"/>
      <c r="H22" s="14"/>
      <c r="I22" s="14"/>
      <c r="J22" s="14"/>
    </row>
    <row r="23" spans="2:10" x14ac:dyDescent="0.25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20">
    <mergeCell ref="B17:B18"/>
    <mergeCell ref="C17:D17"/>
    <mergeCell ref="E17:F17"/>
    <mergeCell ref="G17:H17"/>
    <mergeCell ref="I17:J17"/>
    <mergeCell ref="M2:N2"/>
    <mergeCell ref="O2:P2"/>
    <mergeCell ref="Q2:R2"/>
    <mergeCell ref="S2:T2"/>
    <mergeCell ref="B10:B11"/>
    <mergeCell ref="C10:D10"/>
    <mergeCell ref="E10:F10"/>
    <mergeCell ref="G10:H10"/>
    <mergeCell ref="I10:J10"/>
    <mergeCell ref="B2:B3"/>
    <mergeCell ref="C2:D2"/>
    <mergeCell ref="E2:F2"/>
    <mergeCell ref="G2:H2"/>
    <mergeCell ref="I2:J2"/>
    <mergeCell ref="L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"/>
  <sheetViews>
    <sheetView zoomScale="130" zoomScaleNormal="130" workbookViewId="0">
      <selection activeCell="F25" sqref="F25"/>
    </sheetView>
  </sheetViews>
  <sheetFormatPr defaultRowHeight="15" x14ac:dyDescent="0.25"/>
  <cols>
    <col min="3" max="6" width="10.140625" bestFit="1" customWidth="1"/>
  </cols>
  <sheetData>
    <row r="1" spans="2:21" ht="15.75" thickBot="1" x14ac:dyDescent="0.3"/>
    <row r="2" spans="2:21" x14ac:dyDescent="0.25">
      <c r="B2" s="36" t="s">
        <v>25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</row>
    <row r="3" spans="2:21" ht="18" x14ac:dyDescent="0.35">
      <c r="B3" s="37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</row>
    <row r="4" spans="2:21" ht="18" thickBot="1" x14ac:dyDescent="0.3">
      <c r="B4" s="2" t="s">
        <v>27</v>
      </c>
      <c r="C4" s="5">
        <f>MAX('Agregados A3'!C4:C8,'Agregados A3'!C11:C15)</f>
        <v>6</v>
      </c>
      <c r="D4" s="5">
        <f>MAX('Agregados A3'!D4:D8,'Agregados A3'!D11:D15)</f>
        <v>6</v>
      </c>
      <c r="E4" s="5">
        <f>MIN('Agregados A3'!E4:E8,'Agregados A3'!E11:E15)</f>
        <v>3</v>
      </c>
      <c r="F4" s="5">
        <f>MIN('Agregados A3'!F4:F8,'Agregados A3'!F11:F15)</f>
        <v>4</v>
      </c>
      <c r="G4" s="5">
        <f>MIN('Agregados A3'!G4:G8,'Agregados A3'!G11:G15)</f>
        <v>3</v>
      </c>
      <c r="H4" s="5">
        <f>MIN('Agregados A3'!H4:H8,'Agregados A3'!H11:H15)</f>
        <v>4</v>
      </c>
      <c r="I4" s="5">
        <f>MAX('Agregados A3'!I4:I8,'Agregados A3'!I11:I15)</f>
        <v>6</v>
      </c>
      <c r="J4" s="5">
        <f>MAX('Agregados A3'!J4:J8,'Agregados A3'!J11:J15)</f>
        <v>6</v>
      </c>
    </row>
    <row r="5" spans="2:21" ht="15.75" thickBot="1" x14ac:dyDescent="0.3"/>
    <row r="6" spans="2:21" x14ac:dyDescent="0.25">
      <c r="B6" s="36" t="s">
        <v>26</v>
      </c>
      <c r="C6" s="34" t="s">
        <v>5</v>
      </c>
      <c r="D6" s="34"/>
      <c r="E6" s="34" t="s">
        <v>6</v>
      </c>
      <c r="F6" s="34"/>
      <c r="G6" s="34" t="s">
        <v>7</v>
      </c>
      <c r="H6" s="34"/>
      <c r="I6" s="34" t="s">
        <v>8</v>
      </c>
      <c r="J6" s="35"/>
    </row>
    <row r="7" spans="2:21" ht="18" x14ac:dyDescent="0.35">
      <c r="B7" s="37"/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1" t="s">
        <v>36</v>
      </c>
    </row>
    <row r="8" spans="2:21" ht="18" thickBot="1" x14ac:dyDescent="0.3">
      <c r="B8" s="2" t="s">
        <v>28</v>
      </c>
      <c r="C8" s="5">
        <f>MIN('Agregados A3'!C4:C8,Agregados!C11:C15)</f>
        <v>3</v>
      </c>
      <c r="D8" s="5">
        <f>MIN('Agregados A3'!D4:D8,Agregados!D11:D15)</f>
        <v>4</v>
      </c>
      <c r="E8" s="5">
        <f>MAX('Agregados A3'!E4:E8,Agregados!E11:E15)</f>
        <v>6</v>
      </c>
      <c r="F8" s="5">
        <f>MAX('Agregados A3'!F4:F8,Agregados!F11:F15)</f>
        <v>6</v>
      </c>
      <c r="G8" s="5">
        <f>MAX('Agregados A3'!G4:G8,Agregados!G11:G15)</f>
        <v>6</v>
      </c>
      <c r="H8" s="5">
        <f>MAX('Agregados A3'!H4:H8,Agregados!H11:H15)</f>
        <v>6</v>
      </c>
      <c r="I8" s="5">
        <f>MIN('Agregados A3'!I4:I8,Agregados!I11:I15)</f>
        <v>2</v>
      </c>
      <c r="J8" s="5">
        <f>MIN('Agregados A3'!J4:J8,Agregados!J11:J15)</f>
        <v>3</v>
      </c>
    </row>
    <row r="10" spans="2:21" x14ac:dyDescent="0.25">
      <c r="B10" s="43" t="s">
        <v>41</v>
      </c>
      <c r="C10" s="44" t="s">
        <v>38</v>
      </c>
      <c r="D10" s="44" t="s">
        <v>49</v>
      </c>
      <c r="E10" s="44" t="s">
        <v>39</v>
      </c>
      <c r="F10" s="44" t="s">
        <v>40</v>
      </c>
      <c r="G10" s="45" t="s">
        <v>37</v>
      </c>
      <c r="H10" s="12"/>
    </row>
    <row r="11" spans="2:21" x14ac:dyDescent="0.25">
      <c r="B11" s="43"/>
      <c r="C11" s="44"/>
      <c r="D11" s="44"/>
      <c r="E11" s="44"/>
      <c r="F11" s="44"/>
      <c r="G11" s="40"/>
      <c r="H11" s="32"/>
    </row>
    <row r="12" spans="2:21" x14ac:dyDescent="0.25">
      <c r="B12" s="21" t="s">
        <v>1</v>
      </c>
      <c r="C12" s="3">
        <f>ABS($C$4-Agregados!M4)+ABS($D$4-Agregados!N4)</f>
        <v>4</v>
      </c>
      <c r="D12" s="3">
        <f>ABS($E$4-Agregados!O4)+ABS($F$4-Agregados!P4)</f>
        <v>5</v>
      </c>
      <c r="E12" s="3">
        <f>ABS($G$4-Agregados!Q4)+ABS($H$4-Agregados!R4)</f>
        <v>1</v>
      </c>
      <c r="F12" s="3">
        <f>ABS($I$4-Agregados!S4)+ABS($J$4-Agregados!T4)</f>
        <v>6</v>
      </c>
      <c r="G12" s="3">
        <f>SUM(C12:F12)</f>
        <v>16</v>
      </c>
      <c r="H12" s="14"/>
    </row>
    <row r="13" spans="2:21" x14ac:dyDescent="0.25">
      <c r="B13" s="21" t="s">
        <v>2</v>
      </c>
      <c r="C13" s="3">
        <f>ABS($C$4-Agregados!M5)+ABS($D$4-Agregados!N5)</f>
        <v>2</v>
      </c>
      <c r="D13" s="3">
        <f>ABS($E$4-Agregados!O5)+ABS($F$4-Agregados!P5)</f>
        <v>3</v>
      </c>
      <c r="E13" s="3">
        <f>ABS($G$4-Agregados!Q5)+ABS($H$4-Agregados!R5)</f>
        <v>5</v>
      </c>
      <c r="F13" s="3">
        <f>ABS($I$4-Agregados!S5)+ABS($J$4-Agregados!T5)</f>
        <v>0</v>
      </c>
      <c r="G13" s="3">
        <f t="shared" ref="G13:G15" si="0">SUM(C13:F13)</f>
        <v>10</v>
      </c>
      <c r="H13" s="14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2:21" ht="15" customHeight="1" x14ac:dyDescent="0.25">
      <c r="B14" s="21" t="s">
        <v>3</v>
      </c>
      <c r="C14" s="3">
        <f>ABS($C$4-Agregados!M6)+ABS($D$4-Agregados!N6)</f>
        <v>0</v>
      </c>
      <c r="D14" s="3">
        <f>ABS($E$4-Agregados!O6)+ABS($F$4-Agregados!P6)</f>
        <v>1</v>
      </c>
      <c r="E14" s="3">
        <f>ABS($G$4-Agregados!Q6)+ABS($H$4-Agregados!R6)</f>
        <v>3</v>
      </c>
      <c r="F14" s="3">
        <f>ABS($I$4-Agregados!S6)+ABS($J$4-Agregados!T6)</f>
        <v>4</v>
      </c>
      <c r="G14" s="3">
        <f t="shared" si="0"/>
        <v>8</v>
      </c>
      <c r="H14" s="14"/>
      <c r="I14" s="43" t="s">
        <v>48</v>
      </c>
      <c r="J14" s="46" t="s">
        <v>46</v>
      </c>
      <c r="K14" s="40" t="s">
        <v>47</v>
      </c>
      <c r="L14" s="19"/>
      <c r="M14" s="28"/>
      <c r="N14" s="29"/>
      <c r="O14" s="29"/>
      <c r="P14" s="19"/>
      <c r="Q14" s="19"/>
      <c r="R14" s="19"/>
      <c r="S14" s="19"/>
      <c r="T14" s="19"/>
      <c r="U14" s="19"/>
    </row>
    <row r="15" spans="2:21" x14ac:dyDescent="0.25">
      <c r="B15" s="21" t="s">
        <v>4</v>
      </c>
      <c r="C15" s="3">
        <f>ABS($C$4-Agregados!M7)+ABS($D$4-Agregados!N7)</f>
        <v>3</v>
      </c>
      <c r="D15" s="3">
        <f>ABS($E$4-Agregados!O7)+ABS($F$4-Agregados!P7)</f>
        <v>2</v>
      </c>
      <c r="E15" s="3">
        <f>ABS($G$4-Agregados!Q7)+ABS($H$4-Agregados!R7)</f>
        <v>1</v>
      </c>
      <c r="F15" s="3">
        <f>ABS($I$4-Agregados!S7)+ABS($J$4-Agregados!T7)</f>
        <v>4</v>
      </c>
      <c r="G15" s="3">
        <f t="shared" si="0"/>
        <v>10</v>
      </c>
      <c r="H15" s="14"/>
      <c r="I15" s="43"/>
      <c r="J15" s="46"/>
      <c r="K15" s="40"/>
      <c r="L15" s="19"/>
      <c r="M15" s="28"/>
      <c r="N15" s="29"/>
      <c r="O15" s="29"/>
      <c r="P15" s="19"/>
      <c r="Q15" s="19"/>
      <c r="R15" s="19"/>
      <c r="S15" s="19"/>
      <c r="T15" s="19"/>
      <c r="U15" s="19"/>
    </row>
    <row r="16" spans="2:21" x14ac:dyDescent="0.25">
      <c r="B16" s="21" t="s">
        <v>67</v>
      </c>
      <c r="C16" s="3">
        <f>ABS($C$4-'Agregados A3'!M8)+ABS($D$4-'Agregados A3'!N8)</f>
        <v>0</v>
      </c>
      <c r="D16" s="3">
        <f>ABS($E$4-'Agregados A3'!O8)+ABS($F$4-'Agregados A3'!P8)</f>
        <v>1</v>
      </c>
      <c r="E16" s="3">
        <f>ABS($G$4-'Agregados A3'!Q8)+ABS($H$4-'Agregados A3'!R8)</f>
        <v>3</v>
      </c>
      <c r="F16" s="3">
        <f>ABS($I$4-'Agregados A3'!S8)+ABS($J$4-'Agregados A3'!T8)</f>
        <v>4</v>
      </c>
      <c r="G16" s="3">
        <f>SUM(C16:F16)</f>
        <v>8</v>
      </c>
      <c r="H16" s="14"/>
      <c r="I16" s="21" t="s">
        <v>1</v>
      </c>
      <c r="J16" s="15">
        <f>(G20)/(G12+G20)</f>
        <v>0.27272727272727271</v>
      </c>
      <c r="K16" s="3">
        <f>RANK(J16,$J$16:$J$20)</f>
        <v>5</v>
      </c>
      <c r="L16" s="19"/>
      <c r="M16" s="14"/>
      <c r="N16" s="26"/>
      <c r="O16" s="14"/>
      <c r="P16" s="19"/>
      <c r="Q16" s="19"/>
      <c r="R16" s="19"/>
      <c r="S16" s="19"/>
      <c r="T16" s="19"/>
      <c r="U16" s="19"/>
    </row>
    <row r="17" spans="2:21" ht="15.75" thickBot="1" x14ac:dyDescent="0.3">
      <c r="I17" s="21" t="s">
        <v>2</v>
      </c>
      <c r="J17" s="15">
        <f t="shared" ref="J17:J18" si="1">(G21)/(G13+G21)</f>
        <v>0.54545454545454541</v>
      </c>
      <c r="K17" s="3">
        <f t="shared" ref="K17:K20" si="2">RANK(J17,$J$16:$J$20)</f>
        <v>3</v>
      </c>
      <c r="L17" s="19"/>
      <c r="M17" s="14"/>
      <c r="N17" s="26"/>
      <c r="O17" s="14"/>
      <c r="P17" s="19"/>
      <c r="Q17" s="19"/>
      <c r="R17" s="19"/>
      <c r="S17" s="19"/>
      <c r="T17" s="19"/>
      <c r="U17" s="19"/>
    </row>
    <row r="18" spans="2:21" x14ac:dyDescent="0.25">
      <c r="B18" s="36" t="s">
        <v>42</v>
      </c>
      <c r="C18" s="34" t="s">
        <v>43</v>
      </c>
      <c r="D18" s="34" t="s">
        <v>50</v>
      </c>
      <c r="E18" s="34" t="s">
        <v>44</v>
      </c>
      <c r="F18" s="34" t="s">
        <v>45</v>
      </c>
      <c r="G18" s="41" t="s">
        <v>37</v>
      </c>
      <c r="I18" s="21" t="s">
        <v>3</v>
      </c>
      <c r="J18" s="15">
        <f>(G22)/(G14+G22)</f>
        <v>0.63636363636363635</v>
      </c>
      <c r="K18" s="3">
        <f t="shared" si="2"/>
        <v>1</v>
      </c>
      <c r="L18" s="19"/>
      <c r="M18" s="14"/>
      <c r="N18" s="26"/>
      <c r="O18" s="14"/>
      <c r="P18" s="19"/>
      <c r="Q18" s="19"/>
      <c r="R18" s="19"/>
      <c r="S18" s="19"/>
      <c r="T18" s="19"/>
      <c r="U18" s="19"/>
    </row>
    <row r="19" spans="2:21" x14ac:dyDescent="0.25">
      <c r="B19" s="37"/>
      <c r="C19" s="44"/>
      <c r="D19" s="44"/>
      <c r="E19" s="44"/>
      <c r="F19" s="44"/>
      <c r="G19" s="42"/>
      <c r="I19" s="21" t="s">
        <v>4</v>
      </c>
      <c r="J19" s="15">
        <f>(G23)/(G15+G23)</f>
        <v>0.54545454545454541</v>
      </c>
      <c r="K19" s="3">
        <f t="shared" si="2"/>
        <v>3</v>
      </c>
      <c r="L19" s="19"/>
      <c r="M19" s="14"/>
      <c r="N19" s="26"/>
      <c r="O19" s="14"/>
      <c r="P19" s="19"/>
      <c r="Q19" s="19"/>
      <c r="R19" s="19"/>
      <c r="S19" s="19"/>
      <c r="T19" s="19"/>
      <c r="U19" s="19"/>
    </row>
    <row r="20" spans="2:21" x14ac:dyDescent="0.25">
      <c r="B20" s="1" t="s">
        <v>1</v>
      </c>
      <c r="C20" s="3">
        <f>ABS($C$8-Agregados!M4)+ABS($D$8-Agregados!N4)</f>
        <v>1</v>
      </c>
      <c r="D20" s="3">
        <f>ABS($E$8-Agregados!O4)+ABS($F$8-Agregados!P4)</f>
        <v>0</v>
      </c>
      <c r="E20" s="3">
        <f>ABS($G$8-Agregados!Q4)+ABS($H$8-Agregados!R4)</f>
        <v>4</v>
      </c>
      <c r="F20" s="3">
        <f>ABS($I$8-Agregados!S4)+ABS($J$8-Agregados!T4)</f>
        <v>1</v>
      </c>
      <c r="G20" s="4">
        <f>SUM(C20:F20)</f>
        <v>6</v>
      </c>
      <c r="I20" s="21" t="s">
        <v>67</v>
      </c>
      <c r="J20" s="15">
        <f>(G24)/(G16+G24)</f>
        <v>0.63636363636363635</v>
      </c>
      <c r="K20" s="3">
        <f t="shared" si="2"/>
        <v>1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2:21" x14ac:dyDescent="0.25">
      <c r="B21" s="1" t="s">
        <v>2</v>
      </c>
      <c r="C21" s="3">
        <f>ABS($C$8-Agregados!M5)+ABS($D$8-Agregados!N5)</f>
        <v>3</v>
      </c>
      <c r="D21" s="3">
        <f>ABS($E$8-Agregados!O5)+ABS($F$8-Agregados!P5)</f>
        <v>2</v>
      </c>
      <c r="E21" s="3">
        <f>ABS($G$8-Agregados!Q5)+ABS($H$8-Agregados!R5)</f>
        <v>0</v>
      </c>
      <c r="F21" s="3">
        <f>ABS($I$8-Agregados!S5)+ABS($J$8-Agregados!T5)</f>
        <v>7</v>
      </c>
      <c r="G21" s="4">
        <f t="shared" ref="G21:G24" si="3">SUM(C21:F21)</f>
        <v>12</v>
      </c>
      <c r="I21" s="12"/>
      <c r="J21" s="12"/>
      <c r="K21" s="12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2:21" x14ac:dyDescent="0.25">
      <c r="B22" s="1" t="s">
        <v>3</v>
      </c>
      <c r="C22" s="3">
        <f>ABS($C$8-Agregados!M6)+ABS($D$8-Agregados!N6)</f>
        <v>5</v>
      </c>
      <c r="D22" s="3">
        <f>ABS($E$8-Agregados!O6)+ABS($F$8-Agregados!P6)</f>
        <v>4</v>
      </c>
      <c r="E22" s="3">
        <f>ABS($G$8-Agregados!Q6)+ABS($H$8-Agregados!R6)</f>
        <v>2</v>
      </c>
      <c r="F22" s="3">
        <f>ABS($I$8-Agregados!S6)+ABS($J$8-Agregados!T6)</f>
        <v>3</v>
      </c>
      <c r="G22" s="4">
        <f t="shared" si="3"/>
        <v>14</v>
      </c>
      <c r="I22" s="19"/>
      <c r="J22" s="19"/>
      <c r="K22" s="19"/>
    </row>
    <row r="23" spans="2:21" x14ac:dyDescent="0.25">
      <c r="B23" s="1" t="s">
        <v>4</v>
      </c>
      <c r="C23" s="3">
        <f>ABS($C$8-Agregados!M7)+ABS($D$8-Agregados!N7)</f>
        <v>2</v>
      </c>
      <c r="D23" s="3">
        <f>ABS($E$8-Agregados!O7)+ABS($F$8-Agregados!P7)</f>
        <v>3</v>
      </c>
      <c r="E23" s="3">
        <f>ABS($G$8-Agregados!Q7)+ABS($H$8-Agregados!R7)</f>
        <v>4</v>
      </c>
      <c r="F23" s="3">
        <f>ABS($I$8-Agregados!S7)+ABS($J$8-Agregados!T7)</f>
        <v>3</v>
      </c>
      <c r="G23" s="4">
        <f t="shared" si="3"/>
        <v>12</v>
      </c>
      <c r="I23" s="19"/>
      <c r="J23" s="19"/>
      <c r="K23" s="19"/>
    </row>
    <row r="24" spans="2:21" x14ac:dyDescent="0.25">
      <c r="B24" s="1" t="s">
        <v>67</v>
      </c>
      <c r="C24" s="3">
        <f>ABS($C$8-'Agregados A3'!M8)+ABS($D$8-'Agregados A3'!N8)</f>
        <v>5</v>
      </c>
      <c r="D24" s="3">
        <f>ABS($E$8-'Agregados A3'!O8)+ABS($F$8-'Agregados A3'!P8)</f>
        <v>4</v>
      </c>
      <c r="E24" s="3">
        <f>ABS($G$8-'Agregados A3'!Q8)+ABS($H$8-'Agregados A3'!R8)</f>
        <v>2</v>
      </c>
      <c r="F24" s="3">
        <f>ABS($I$8-'Agregados A3'!S8)+ABS($J$8-'Agregados A3'!T8)</f>
        <v>3</v>
      </c>
      <c r="G24" s="4">
        <f t="shared" si="3"/>
        <v>14</v>
      </c>
      <c r="I24" s="19"/>
      <c r="J24" s="19"/>
      <c r="K24" s="19"/>
    </row>
    <row r="25" spans="2:21" x14ac:dyDescent="0.25">
      <c r="I25" s="19"/>
      <c r="J25" s="19"/>
      <c r="K25" s="19"/>
    </row>
    <row r="26" spans="2:21" x14ac:dyDescent="0.25">
      <c r="I26" s="19"/>
      <c r="J26" s="19"/>
      <c r="K26" s="19"/>
    </row>
    <row r="27" spans="2:21" x14ac:dyDescent="0.25">
      <c r="I27" s="19"/>
      <c r="J27" s="19"/>
      <c r="K27" s="19"/>
    </row>
    <row r="28" spans="2:21" x14ac:dyDescent="0.25">
      <c r="I28" s="19"/>
      <c r="J28" s="19"/>
      <c r="K28" s="19"/>
    </row>
    <row r="29" spans="2:21" x14ac:dyDescent="0.25">
      <c r="I29" s="19"/>
      <c r="J29" s="19"/>
      <c r="K29" s="19"/>
    </row>
    <row r="30" spans="2:21" x14ac:dyDescent="0.25">
      <c r="I30" s="25"/>
      <c r="J30" s="25"/>
      <c r="K30" s="25"/>
    </row>
    <row r="31" spans="2:21" x14ac:dyDescent="0.25">
      <c r="I31" s="19"/>
      <c r="J31" s="19"/>
      <c r="K31" s="19"/>
    </row>
    <row r="32" spans="2:21" x14ac:dyDescent="0.25">
      <c r="I32" s="19"/>
      <c r="J32" s="19"/>
      <c r="K32" s="19"/>
    </row>
    <row r="33" spans="9:11" x14ac:dyDescent="0.25">
      <c r="I33" s="19"/>
      <c r="J33" s="19"/>
      <c r="K33" s="19"/>
    </row>
    <row r="34" spans="9:11" x14ac:dyDescent="0.25">
      <c r="I34" s="19"/>
      <c r="J34" s="19"/>
      <c r="K34" s="19"/>
    </row>
    <row r="35" spans="9:11" x14ac:dyDescent="0.25">
      <c r="I35" s="19"/>
      <c r="J35" s="19"/>
      <c r="K35" s="19"/>
    </row>
    <row r="36" spans="9:11" x14ac:dyDescent="0.25">
      <c r="I36" s="19"/>
      <c r="J36" s="19"/>
      <c r="K36" s="19"/>
    </row>
    <row r="37" spans="9:11" x14ac:dyDescent="0.25">
      <c r="I37" s="19"/>
      <c r="J37" s="19"/>
      <c r="K37" s="19"/>
    </row>
    <row r="38" spans="9:11" x14ac:dyDescent="0.25">
      <c r="I38" s="19"/>
      <c r="J38" s="19"/>
      <c r="K38" s="19"/>
    </row>
  </sheetData>
  <mergeCells count="25">
    <mergeCell ref="I14:I15"/>
    <mergeCell ref="J14:J15"/>
    <mergeCell ref="K14:K15"/>
    <mergeCell ref="B18:B19"/>
    <mergeCell ref="C18:C19"/>
    <mergeCell ref="D18:D19"/>
    <mergeCell ref="E18:E19"/>
    <mergeCell ref="F18:F19"/>
    <mergeCell ref="G18:G19"/>
    <mergeCell ref="B10:B11"/>
    <mergeCell ref="C10:C11"/>
    <mergeCell ref="D10:D11"/>
    <mergeCell ref="E10:E11"/>
    <mergeCell ref="F10:F11"/>
    <mergeCell ref="G10:G11"/>
    <mergeCell ref="B2:B3"/>
    <mergeCell ref="C2:D2"/>
    <mergeCell ref="E2:F2"/>
    <mergeCell ref="G2:H2"/>
    <mergeCell ref="I2:J2"/>
    <mergeCell ref="B6:B7"/>
    <mergeCell ref="C6:D6"/>
    <mergeCell ref="E6:F6"/>
    <mergeCell ref="G6:H6"/>
    <mergeCell ref="I6:J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3"/>
  <sheetViews>
    <sheetView zoomScale="130" zoomScaleNormal="130" workbookViewId="0">
      <selection activeCell="P21" sqref="P21"/>
    </sheetView>
  </sheetViews>
  <sheetFormatPr defaultRowHeight="15" x14ac:dyDescent="0.25"/>
  <sheetData>
    <row r="1" spans="2:20" ht="15.75" thickBot="1" x14ac:dyDescent="0.3"/>
    <row r="2" spans="2:20" x14ac:dyDescent="0.25">
      <c r="B2" s="36" t="s">
        <v>0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  <c r="L2" s="36" t="s">
        <v>16</v>
      </c>
      <c r="M2" s="34" t="s">
        <v>5</v>
      </c>
      <c r="N2" s="34"/>
      <c r="O2" s="34" t="s">
        <v>6</v>
      </c>
      <c r="P2" s="34"/>
      <c r="Q2" s="34" t="s">
        <v>7</v>
      </c>
      <c r="R2" s="34"/>
      <c r="S2" s="34" t="s">
        <v>8</v>
      </c>
      <c r="T2" s="35"/>
    </row>
    <row r="3" spans="2:20" ht="18" x14ac:dyDescent="0.35">
      <c r="B3" s="37"/>
      <c r="C3" s="33" t="s">
        <v>14</v>
      </c>
      <c r="D3" s="33" t="s">
        <v>15</v>
      </c>
      <c r="E3" s="33" t="s">
        <v>14</v>
      </c>
      <c r="F3" s="33" t="s">
        <v>15</v>
      </c>
      <c r="G3" s="33" t="s">
        <v>14</v>
      </c>
      <c r="H3" s="33" t="s">
        <v>15</v>
      </c>
      <c r="I3" s="33" t="s">
        <v>14</v>
      </c>
      <c r="J3" s="9" t="s">
        <v>15</v>
      </c>
      <c r="L3" s="37"/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1" t="s">
        <v>24</v>
      </c>
    </row>
    <row r="4" spans="2:20" x14ac:dyDescent="0.25">
      <c r="B4" s="1" t="s">
        <v>1</v>
      </c>
      <c r="C4" s="3">
        <v>4</v>
      </c>
      <c r="D4" s="3">
        <v>4</v>
      </c>
      <c r="E4" s="3">
        <v>6</v>
      </c>
      <c r="F4" s="3">
        <v>6</v>
      </c>
      <c r="G4" s="3">
        <v>4</v>
      </c>
      <c r="H4" s="3">
        <v>4</v>
      </c>
      <c r="I4" s="3">
        <v>3</v>
      </c>
      <c r="J4" s="4">
        <v>3</v>
      </c>
      <c r="L4" s="1" t="s">
        <v>1</v>
      </c>
      <c r="M4" s="3">
        <f>MIN(MIN(D4,D12),MAX(C4,C12))</f>
        <v>4</v>
      </c>
      <c r="N4" s="3">
        <f>MAX(MIN(D4,D12),MAX(C4,C12))</f>
        <v>4</v>
      </c>
      <c r="O4" s="3">
        <f>MIN(MIN(F4,F12),MAX(E4,E12))</f>
        <v>6</v>
      </c>
      <c r="P4" s="3">
        <f>MAX(MIN(F4,F12),MAX(E4,E12))</f>
        <v>6</v>
      </c>
      <c r="Q4" s="3">
        <f>MIN(MIN(H4,H12),MAX(G4,G12))</f>
        <v>4</v>
      </c>
      <c r="R4" s="3">
        <f>MAX(MIN(H4,H12),MAX(G4,G12))</f>
        <v>4</v>
      </c>
      <c r="S4" s="3">
        <f>MIN(MIN(J4,J12),MAX(I4,I12))</f>
        <v>3</v>
      </c>
      <c r="T4" s="4">
        <f>MAX(MIN(J4,J12),MAX(I4,I12))</f>
        <v>3</v>
      </c>
    </row>
    <row r="5" spans="2:20" x14ac:dyDescent="0.25">
      <c r="B5" s="1" t="s">
        <v>2</v>
      </c>
      <c r="C5" s="3">
        <v>5</v>
      </c>
      <c r="D5" s="3">
        <v>5</v>
      </c>
      <c r="E5" s="3">
        <v>5</v>
      </c>
      <c r="F5" s="3">
        <v>5</v>
      </c>
      <c r="G5" s="3">
        <v>6</v>
      </c>
      <c r="H5" s="3">
        <v>6</v>
      </c>
      <c r="I5" s="3">
        <v>6</v>
      </c>
      <c r="J5" s="4">
        <v>6</v>
      </c>
      <c r="L5" s="1" t="s">
        <v>2</v>
      </c>
      <c r="M5" s="3">
        <f>MIN(MIN(D5,D13),MAX(C5,C13))</f>
        <v>5</v>
      </c>
      <c r="N5" s="3">
        <f>MAX(MIN(D5,D13),MAX(C5,C13))</f>
        <v>5</v>
      </c>
      <c r="O5" s="3">
        <f>MIN(MIN(F5,F13),MAX(E5,E13))</f>
        <v>5</v>
      </c>
      <c r="P5" s="3">
        <f>MAX(MIN(F5,F13),MAX(E5,E13))</f>
        <v>5</v>
      </c>
      <c r="Q5" s="3">
        <f>MIN(MIN(H5,H13),MAX(G5,G13))</f>
        <v>6</v>
      </c>
      <c r="R5" s="3">
        <f>MAX(MIN(H5,H13),MAX(G5,G13))</f>
        <v>6</v>
      </c>
      <c r="S5" s="3">
        <f>MIN(MIN(J5,J13),MAX(I5,I13))</f>
        <v>6</v>
      </c>
      <c r="T5" s="4">
        <f>MAX(MIN(J5,J13),MAX(I5,I13))</f>
        <v>6</v>
      </c>
    </row>
    <row r="6" spans="2:20" x14ac:dyDescent="0.25">
      <c r="B6" s="1" t="s">
        <v>3</v>
      </c>
      <c r="C6" s="3">
        <v>6</v>
      </c>
      <c r="D6" s="3">
        <v>6</v>
      </c>
      <c r="E6" s="3">
        <v>4</v>
      </c>
      <c r="F6" s="3">
        <v>4</v>
      </c>
      <c r="G6" s="3">
        <v>5</v>
      </c>
      <c r="H6" s="3">
        <v>5</v>
      </c>
      <c r="I6" s="3">
        <v>4</v>
      </c>
      <c r="J6" s="4">
        <v>4</v>
      </c>
      <c r="L6" s="1" t="s">
        <v>3</v>
      </c>
      <c r="M6" s="3">
        <f>MIN(MIN(D6,D14),MAX(C6,C14))</f>
        <v>6</v>
      </c>
      <c r="N6" s="3">
        <f>MAX(MIN(D6,D14),MAX(C6,C14))</f>
        <v>6</v>
      </c>
      <c r="O6" s="3">
        <f>MIN(MIN(F6,F14),MAX(E6,E14))</f>
        <v>4</v>
      </c>
      <c r="P6" s="3">
        <f>MAX(MIN(F6,F14),MAX(E6,E14))</f>
        <v>4</v>
      </c>
      <c r="Q6" s="3">
        <f>MIN(MIN(H6,H14),MAX(G6,G14))</f>
        <v>5</v>
      </c>
      <c r="R6" s="3">
        <f>MAX(MIN(H6,H14),MAX(G6,G14))</f>
        <v>5</v>
      </c>
      <c r="S6" s="3">
        <f>MIN(MIN(J6,J14),MAX(I6,I14))</f>
        <v>4</v>
      </c>
      <c r="T6" s="4">
        <f>MAX(MIN(J6,J14),MAX(I6,I14))</f>
        <v>4</v>
      </c>
    </row>
    <row r="7" spans="2:20" x14ac:dyDescent="0.25">
      <c r="B7" s="1" t="s">
        <v>4</v>
      </c>
      <c r="C7" s="3">
        <v>4</v>
      </c>
      <c r="D7" s="3">
        <v>4</v>
      </c>
      <c r="E7" s="3">
        <v>5</v>
      </c>
      <c r="F7" s="3">
        <v>5</v>
      </c>
      <c r="G7" s="3">
        <v>4</v>
      </c>
      <c r="H7" s="3">
        <v>4</v>
      </c>
      <c r="I7" s="3">
        <v>3</v>
      </c>
      <c r="J7" s="4">
        <v>3</v>
      </c>
      <c r="L7" s="1" t="s">
        <v>4</v>
      </c>
      <c r="M7" s="3">
        <f>MIN(MIN(D7,D15),MAX(C7,C15))</f>
        <v>4</v>
      </c>
      <c r="N7" s="3">
        <f>MAX(MIN(D7,D15),MAX(C7,C15))</f>
        <v>5</v>
      </c>
      <c r="O7" s="3">
        <f>MIN(MIN(F7,F15),MAX(E7,E15))</f>
        <v>4</v>
      </c>
      <c r="P7" s="3">
        <f>MAX(MIN(F7,F15),MAX(E7,E15))</f>
        <v>5</v>
      </c>
      <c r="Q7" s="3">
        <f>MIN(MIN(H7,H15),MAX(G7,G15))</f>
        <v>4</v>
      </c>
      <c r="R7" s="3">
        <f>MAX(MIN(H7,H15),MAX(G7,G15))</f>
        <v>4</v>
      </c>
      <c r="S7" s="3">
        <f>MIN(MIN(J7,J15),MAX(I7,I15))</f>
        <v>3</v>
      </c>
      <c r="T7" s="4">
        <f>MAX(MIN(J7,J15),MAX(I7,I15))</f>
        <v>5</v>
      </c>
    </row>
    <row r="8" spans="2:20" x14ac:dyDescent="0.25">
      <c r="B8" s="31" t="s">
        <v>69</v>
      </c>
      <c r="C8" s="3">
        <f>C4</f>
        <v>4</v>
      </c>
      <c r="D8" s="3">
        <f t="shared" ref="D8:J8" si="0">D4</f>
        <v>4</v>
      </c>
      <c r="E8" s="3">
        <f t="shared" si="0"/>
        <v>6</v>
      </c>
      <c r="F8" s="3">
        <f t="shared" si="0"/>
        <v>6</v>
      </c>
      <c r="G8" s="3">
        <f t="shared" si="0"/>
        <v>4</v>
      </c>
      <c r="H8" s="3">
        <f t="shared" si="0"/>
        <v>4</v>
      </c>
      <c r="I8" s="3">
        <f t="shared" si="0"/>
        <v>3</v>
      </c>
      <c r="J8" s="3">
        <f t="shared" si="0"/>
        <v>3</v>
      </c>
      <c r="L8" s="30" t="s">
        <v>67</v>
      </c>
      <c r="M8" s="3">
        <f>MIN(MIN(D8,D16),MAX(C8,C16))</f>
        <v>4</v>
      </c>
      <c r="N8" s="3">
        <f>MAX(MIN(D8,D16),MAX(C8,C16))</f>
        <v>4</v>
      </c>
      <c r="O8" s="3">
        <f>MIN(MIN(F8,F16),MAX(E8,E16))</f>
        <v>6</v>
      </c>
      <c r="P8" s="3">
        <f>MAX(MIN(F8,F16),MAX(E8,E16))</f>
        <v>6</v>
      </c>
      <c r="Q8" s="3">
        <f>MIN(MIN(H8,H16),MAX(G8,G16))</f>
        <v>4</v>
      </c>
      <c r="R8" s="3">
        <f>MAX(MIN(H8,H16),MAX(G8,G16))</f>
        <v>4</v>
      </c>
      <c r="S8" s="3">
        <f>MIN(MIN(J8,J16),MAX(I8,I16))</f>
        <v>3</v>
      </c>
      <c r="T8" s="4">
        <f>MAX(MIN(J8,J16),MAX(I8,I16))</f>
        <v>3</v>
      </c>
    </row>
    <row r="9" spans="2:20" ht="15.75" thickBot="1" x14ac:dyDescent="0.3"/>
    <row r="10" spans="2:20" x14ac:dyDescent="0.25">
      <c r="B10" s="36" t="s">
        <v>9</v>
      </c>
      <c r="C10" s="34" t="s">
        <v>5</v>
      </c>
      <c r="D10" s="34"/>
      <c r="E10" s="34" t="s">
        <v>6</v>
      </c>
      <c r="F10" s="34"/>
      <c r="G10" s="34" t="s">
        <v>7</v>
      </c>
      <c r="H10" s="34"/>
      <c r="I10" s="34" t="s">
        <v>8</v>
      </c>
      <c r="J10" s="35"/>
    </row>
    <row r="11" spans="2:20" x14ac:dyDescent="0.25">
      <c r="B11" s="37"/>
      <c r="C11" s="33" t="s">
        <v>14</v>
      </c>
      <c r="D11" s="33" t="s">
        <v>15</v>
      </c>
      <c r="E11" s="33" t="s">
        <v>14</v>
      </c>
      <c r="F11" s="33" t="s">
        <v>15</v>
      </c>
      <c r="G11" s="33" t="s">
        <v>14</v>
      </c>
      <c r="H11" s="33" t="s">
        <v>15</v>
      </c>
      <c r="I11" s="33" t="s">
        <v>14</v>
      </c>
      <c r="J11" s="9" t="s">
        <v>15</v>
      </c>
    </row>
    <row r="12" spans="2:20" x14ac:dyDescent="0.25">
      <c r="B12" s="1" t="s">
        <v>1</v>
      </c>
      <c r="C12" s="3">
        <v>3</v>
      </c>
      <c r="D12" s="3">
        <v>4</v>
      </c>
      <c r="E12" s="3">
        <v>5</v>
      </c>
      <c r="F12" s="3">
        <v>6</v>
      </c>
      <c r="G12" s="3">
        <v>3</v>
      </c>
      <c r="H12" s="3">
        <v>4</v>
      </c>
      <c r="I12" s="3">
        <v>2</v>
      </c>
      <c r="J12" s="4">
        <v>3</v>
      </c>
    </row>
    <row r="13" spans="2:20" x14ac:dyDescent="0.25">
      <c r="B13" s="1" t="s">
        <v>2</v>
      </c>
      <c r="C13" s="3">
        <v>4</v>
      </c>
      <c r="D13" s="3">
        <v>5</v>
      </c>
      <c r="E13" s="3">
        <v>4</v>
      </c>
      <c r="F13" s="3">
        <v>5</v>
      </c>
      <c r="G13" s="3">
        <v>5</v>
      </c>
      <c r="H13" s="3">
        <v>6</v>
      </c>
      <c r="I13" s="3">
        <v>5</v>
      </c>
      <c r="J13" s="4">
        <v>6</v>
      </c>
    </row>
    <row r="14" spans="2:20" x14ac:dyDescent="0.25">
      <c r="B14" s="1" t="s">
        <v>3</v>
      </c>
      <c r="C14" s="3">
        <v>5</v>
      </c>
      <c r="D14" s="3">
        <v>6</v>
      </c>
      <c r="E14" s="3">
        <v>3</v>
      </c>
      <c r="F14" s="3">
        <v>4</v>
      </c>
      <c r="G14" s="3">
        <v>5</v>
      </c>
      <c r="H14" s="3">
        <v>6</v>
      </c>
      <c r="I14" s="3">
        <v>4</v>
      </c>
      <c r="J14" s="4">
        <v>5</v>
      </c>
    </row>
    <row r="15" spans="2:20" x14ac:dyDescent="0.25">
      <c r="B15" s="1" t="s">
        <v>4</v>
      </c>
      <c r="C15" s="3">
        <v>5</v>
      </c>
      <c r="D15" s="3">
        <v>6</v>
      </c>
      <c r="E15" s="3">
        <v>4</v>
      </c>
      <c r="F15" s="3">
        <v>4</v>
      </c>
      <c r="G15" s="3">
        <v>3</v>
      </c>
      <c r="H15" s="3">
        <v>4</v>
      </c>
      <c r="I15" s="3">
        <v>5</v>
      </c>
      <c r="J15" s="4">
        <v>5</v>
      </c>
    </row>
    <row r="16" spans="2:20" x14ac:dyDescent="0.25">
      <c r="B16" s="31" t="s">
        <v>69</v>
      </c>
      <c r="C16" s="3">
        <f>C12</f>
        <v>3</v>
      </c>
      <c r="D16" s="3">
        <f t="shared" ref="D16:J16" si="1">D12</f>
        <v>4</v>
      </c>
      <c r="E16" s="3">
        <f t="shared" si="1"/>
        <v>5</v>
      </c>
      <c r="F16" s="3">
        <f t="shared" si="1"/>
        <v>6</v>
      </c>
      <c r="G16" s="3">
        <f t="shared" si="1"/>
        <v>3</v>
      </c>
      <c r="H16" s="3">
        <f t="shared" si="1"/>
        <v>4</v>
      </c>
      <c r="I16" s="3">
        <f t="shared" si="1"/>
        <v>2</v>
      </c>
      <c r="J16" s="3">
        <f t="shared" si="1"/>
        <v>3</v>
      </c>
    </row>
    <row r="17" spans="2:10" x14ac:dyDescent="0.25">
      <c r="B17" s="38"/>
      <c r="C17" s="39"/>
      <c r="D17" s="39"/>
      <c r="E17" s="39"/>
      <c r="F17" s="39"/>
      <c r="G17" s="39"/>
      <c r="H17" s="39"/>
      <c r="I17" s="39"/>
      <c r="J17" s="39"/>
    </row>
    <row r="18" spans="2:10" x14ac:dyDescent="0.25">
      <c r="B18" s="38"/>
      <c r="C18" s="32"/>
      <c r="D18" s="32"/>
      <c r="E18" s="32"/>
      <c r="F18" s="32"/>
      <c r="G18" s="32"/>
      <c r="H18" s="32"/>
      <c r="I18" s="32"/>
      <c r="J18" s="32"/>
    </row>
    <row r="19" spans="2:10" x14ac:dyDescent="0.25">
      <c r="B19" s="14"/>
      <c r="C19" s="14"/>
      <c r="D19" s="14"/>
      <c r="E19" s="14"/>
      <c r="F19" s="14"/>
      <c r="G19" s="14"/>
      <c r="H19" s="14"/>
      <c r="I19" s="14"/>
      <c r="J19" s="14"/>
    </row>
    <row r="20" spans="2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2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2" spans="2:10" x14ac:dyDescent="0.25">
      <c r="B22" s="14"/>
      <c r="C22" s="14"/>
      <c r="D22" s="14"/>
      <c r="E22" s="14"/>
      <c r="F22" s="14"/>
      <c r="G22" s="14"/>
      <c r="H22" s="14"/>
      <c r="I22" s="14"/>
      <c r="J22" s="14"/>
    </row>
    <row r="23" spans="2:10" x14ac:dyDescent="0.25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20">
    <mergeCell ref="B17:B18"/>
    <mergeCell ref="C17:D17"/>
    <mergeCell ref="E17:F17"/>
    <mergeCell ref="G17:H17"/>
    <mergeCell ref="I17:J17"/>
    <mergeCell ref="M2:N2"/>
    <mergeCell ref="O2:P2"/>
    <mergeCell ref="Q2:R2"/>
    <mergeCell ref="S2:T2"/>
    <mergeCell ref="B10:B11"/>
    <mergeCell ref="C10:D10"/>
    <mergeCell ref="E10:F10"/>
    <mergeCell ref="G10:H10"/>
    <mergeCell ref="I10:J10"/>
    <mergeCell ref="B2:B3"/>
    <mergeCell ref="C2:D2"/>
    <mergeCell ref="E2:F2"/>
    <mergeCell ref="G2:H2"/>
    <mergeCell ref="I2:J2"/>
    <mergeCell ref="L2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"/>
  <sheetViews>
    <sheetView tabSelected="1" zoomScale="130" zoomScaleNormal="130" workbookViewId="0">
      <selection activeCell="N18" sqref="N18"/>
    </sheetView>
  </sheetViews>
  <sheetFormatPr defaultRowHeight="15" x14ac:dyDescent="0.25"/>
  <cols>
    <col min="3" max="6" width="10.140625" bestFit="1" customWidth="1"/>
  </cols>
  <sheetData>
    <row r="1" spans="2:21" ht="15.75" thickBot="1" x14ac:dyDescent="0.3"/>
    <row r="2" spans="2:21" x14ac:dyDescent="0.25">
      <c r="B2" s="36" t="s">
        <v>25</v>
      </c>
      <c r="C2" s="34" t="s">
        <v>5</v>
      </c>
      <c r="D2" s="34"/>
      <c r="E2" s="34" t="s">
        <v>6</v>
      </c>
      <c r="F2" s="34"/>
      <c r="G2" s="34" t="s">
        <v>7</v>
      </c>
      <c r="H2" s="34"/>
      <c r="I2" s="34" t="s">
        <v>8</v>
      </c>
      <c r="J2" s="35"/>
    </row>
    <row r="3" spans="2:21" ht="18" x14ac:dyDescent="0.35">
      <c r="B3" s="37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1" t="s">
        <v>36</v>
      </c>
    </row>
    <row r="4" spans="2:21" ht="18" thickBot="1" x14ac:dyDescent="0.3">
      <c r="B4" s="2" t="s">
        <v>27</v>
      </c>
      <c r="C4" s="5">
        <f>MAX('Agregados A1'!C4:C8,'Agregados A1'!C11:C15)</f>
        <v>6</v>
      </c>
      <c r="D4" s="5">
        <f>MAX('Agregados A1'!D4:D8,'Agregados A1'!D11:D15)</f>
        <v>6</v>
      </c>
      <c r="E4" s="5">
        <f>MIN('Agregados A1'!E4:E8,'Agregados A1'!E11:E15)</f>
        <v>3</v>
      </c>
      <c r="F4" s="5">
        <f>MIN('Agregados A1'!F4:F8,'Agregados A1'!F11:F15)</f>
        <v>4</v>
      </c>
      <c r="G4" s="5">
        <f>MIN('Agregados A1'!G4:G8,'Agregados A1'!G11:G15)</f>
        <v>3</v>
      </c>
      <c r="H4" s="5">
        <f>MIN('Agregados A1'!H4:H8,'Agregados A1'!H11:H15)</f>
        <v>4</v>
      </c>
      <c r="I4" s="5">
        <f>MAX('Agregados A1'!I4:I8,'Agregados A1'!I11:I15)</f>
        <v>6</v>
      </c>
      <c r="J4" s="5">
        <f>MAX('Agregados A1'!J4:J8,'Agregados A1'!J11:J15)</f>
        <v>6</v>
      </c>
    </row>
    <row r="5" spans="2:21" ht="15.75" thickBot="1" x14ac:dyDescent="0.3"/>
    <row r="6" spans="2:21" x14ac:dyDescent="0.25">
      <c r="B6" s="36" t="s">
        <v>26</v>
      </c>
      <c r="C6" s="34" t="s">
        <v>5</v>
      </c>
      <c r="D6" s="34"/>
      <c r="E6" s="34" t="s">
        <v>6</v>
      </c>
      <c r="F6" s="34"/>
      <c r="G6" s="34" t="s">
        <v>7</v>
      </c>
      <c r="H6" s="34"/>
      <c r="I6" s="34" t="s">
        <v>8</v>
      </c>
      <c r="J6" s="35"/>
    </row>
    <row r="7" spans="2:21" ht="18" x14ac:dyDescent="0.35">
      <c r="B7" s="37"/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1" t="s">
        <v>36</v>
      </c>
    </row>
    <row r="8" spans="2:21" ht="18" thickBot="1" x14ac:dyDescent="0.3">
      <c r="B8" s="2" t="s">
        <v>28</v>
      </c>
      <c r="C8" s="5">
        <f>MIN('Agregados A1'!C4:C8,Agregados!C11:C15)</f>
        <v>3</v>
      </c>
      <c r="D8" s="5">
        <f>MIN('Agregados A1'!D4:D8,Agregados!D11:D15)</f>
        <v>4</v>
      </c>
      <c r="E8" s="5">
        <f>MAX('Agregados A1'!E4:E8,Agregados!E11:E15)</f>
        <v>6</v>
      </c>
      <c r="F8" s="5">
        <f>MAX('Agregados A1'!F4:F8,Agregados!F11:F15)</f>
        <v>6</v>
      </c>
      <c r="G8" s="5">
        <f>MAX('Agregados A1'!G4:G8,Agregados!G11:G15)</f>
        <v>6</v>
      </c>
      <c r="H8" s="5">
        <f>MAX('Agregados A1'!H4:H8,Agregados!H11:H15)</f>
        <v>6</v>
      </c>
      <c r="I8" s="5">
        <f>MIN('Agregados A1'!I4:I8,Agregados!I11:I15)</f>
        <v>2</v>
      </c>
      <c r="J8" s="5">
        <f>MIN('Agregados A1'!J4:J8,Agregados!J11:J15)</f>
        <v>3</v>
      </c>
    </row>
    <row r="10" spans="2:21" x14ac:dyDescent="0.25">
      <c r="B10" s="43" t="s">
        <v>41</v>
      </c>
      <c r="C10" s="44" t="s">
        <v>38</v>
      </c>
      <c r="D10" s="44" t="s">
        <v>49</v>
      </c>
      <c r="E10" s="44" t="s">
        <v>39</v>
      </c>
      <c r="F10" s="44" t="s">
        <v>40</v>
      </c>
      <c r="G10" s="45" t="s">
        <v>37</v>
      </c>
      <c r="H10" s="12"/>
    </row>
    <row r="11" spans="2:21" x14ac:dyDescent="0.25">
      <c r="B11" s="43"/>
      <c r="C11" s="44"/>
      <c r="D11" s="44"/>
      <c r="E11" s="44"/>
      <c r="F11" s="44"/>
      <c r="G11" s="40"/>
      <c r="H11" s="32"/>
    </row>
    <row r="12" spans="2:21" x14ac:dyDescent="0.25">
      <c r="B12" s="21" t="s">
        <v>1</v>
      </c>
      <c r="C12" s="3">
        <f>ABS($C$4-Agregados!M4)+ABS($D$4-Agregados!N4)</f>
        <v>4</v>
      </c>
      <c r="D12" s="3">
        <f>ABS($E$4-Agregados!O4)+ABS($F$4-Agregados!P4)</f>
        <v>5</v>
      </c>
      <c r="E12" s="3">
        <f>ABS($G$4-Agregados!Q4)+ABS($H$4-Agregados!R4)</f>
        <v>1</v>
      </c>
      <c r="F12" s="3">
        <f>ABS($I$4-Agregados!S4)+ABS($J$4-Agregados!T4)</f>
        <v>6</v>
      </c>
      <c r="G12" s="3">
        <f>SUM(C12:F12)</f>
        <v>16</v>
      </c>
      <c r="H12" s="14"/>
    </row>
    <row r="13" spans="2:21" x14ac:dyDescent="0.25">
      <c r="B13" s="21" t="s">
        <v>2</v>
      </c>
      <c r="C13" s="3">
        <f>ABS($C$4-Agregados!M5)+ABS($D$4-Agregados!N5)</f>
        <v>2</v>
      </c>
      <c r="D13" s="3">
        <f>ABS($E$4-Agregados!O5)+ABS($F$4-Agregados!P5)</f>
        <v>3</v>
      </c>
      <c r="E13" s="3">
        <f>ABS($G$4-Agregados!Q5)+ABS($H$4-Agregados!R5)</f>
        <v>5</v>
      </c>
      <c r="F13" s="3">
        <f>ABS($I$4-Agregados!S5)+ABS($J$4-Agregados!T5)</f>
        <v>0</v>
      </c>
      <c r="G13" s="3">
        <f t="shared" ref="G13:G15" si="0">SUM(C13:F13)</f>
        <v>10</v>
      </c>
      <c r="H13" s="14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2:21" ht="15" customHeight="1" x14ac:dyDescent="0.25">
      <c r="B14" s="21" t="s">
        <v>3</v>
      </c>
      <c r="C14" s="3">
        <f>ABS($C$4-Agregados!M6)+ABS($D$4-Agregados!N6)</f>
        <v>0</v>
      </c>
      <c r="D14" s="3">
        <f>ABS($E$4-Agregados!O6)+ABS($F$4-Agregados!P6)</f>
        <v>1</v>
      </c>
      <c r="E14" s="3">
        <f>ABS($G$4-Agregados!Q6)+ABS($H$4-Agregados!R6)</f>
        <v>3</v>
      </c>
      <c r="F14" s="3">
        <f>ABS($I$4-Agregados!S6)+ABS($J$4-Agregados!T6)</f>
        <v>4</v>
      </c>
      <c r="G14" s="3">
        <f t="shared" si="0"/>
        <v>8</v>
      </c>
      <c r="H14" s="14"/>
      <c r="I14" s="43" t="s">
        <v>48</v>
      </c>
      <c r="J14" s="46" t="s">
        <v>46</v>
      </c>
      <c r="K14" s="40" t="s">
        <v>47</v>
      </c>
      <c r="L14" s="19"/>
      <c r="M14" s="28"/>
      <c r="N14" s="29"/>
      <c r="O14" s="29"/>
      <c r="P14" s="19"/>
      <c r="Q14" s="19"/>
      <c r="R14" s="19"/>
      <c r="S14" s="19"/>
      <c r="T14" s="19"/>
      <c r="U14" s="19"/>
    </row>
    <row r="15" spans="2:21" x14ac:dyDescent="0.25">
      <c r="B15" s="21" t="s">
        <v>4</v>
      </c>
      <c r="C15" s="3">
        <f>ABS($C$4-Agregados!M7)+ABS($D$4-Agregados!N7)</f>
        <v>3</v>
      </c>
      <c r="D15" s="3">
        <f>ABS($E$4-Agregados!O7)+ABS($F$4-Agregados!P7)</f>
        <v>2</v>
      </c>
      <c r="E15" s="3">
        <f>ABS($G$4-Agregados!Q7)+ABS($H$4-Agregados!R7)</f>
        <v>1</v>
      </c>
      <c r="F15" s="3">
        <f>ABS($I$4-Agregados!S7)+ABS($J$4-Agregados!T7)</f>
        <v>4</v>
      </c>
      <c r="G15" s="3">
        <f t="shared" si="0"/>
        <v>10</v>
      </c>
      <c r="H15" s="14"/>
      <c r="I15" s="43"/>
      <c r="J15" s="46"/>
      <c r="K15" s="40"/>
      <c r="L15" s="19"/>
      <c r="M15" s="28"/>
      <c r="N15" s="29"/>
      <c r="O15" s="29"/>
      <c r="P15" s="19"/>
      <c r="Q15" s="19"/>
      <c r="R15" s="19"/>
      <c r="S15" s="19"/>
      <c r="T15" s="19"/>
      <c r="U15" s="19"/>
    </row>
    <row r="16" spans="2:21" x14ac:dyDescent="0.25">
      <c r="B16" s="21" t="s">
        <v>67</v>
      </c>
      <c r="C16" s="3">
        <f>ABS($C$4-'Agregados A1'!M8)+ABS($D$4-'Agregados A1'!N8)</f>
        <v>4</v>
      </c>
      <c r="D16" s="3">
        <f>ABS($E$4-'Agregados A1'!O8)+ABS($F$4-'Agregados A1'!P8)</f>
        <v>5</v>
      </c>
      <c r="E16" s="3">
        <f>ABS($G$4-'Agregados A1'!Q8)+ABS($H$4-'Agregados A1'!R8)</f>
        <v>1</v>
      </c>
      <c r="F16" s="3">
        <f>ABS($I$4-'Agregados A1'!S8)+ABS($J$4-'Agregados A1'!T8)</f>
        <v>6</v>
      </c>
      <c r="G16" s="3">
        <f>SUM(C16:F16)</f>
        <v>16</v>
      </c>
      <c r="H16" s="14"/>
      <c r="I16" s="21" t="s">
        <v>1</v>
      </c>
      <c r="J16" s="15">
        <f>(G20)/(G12+G20)</f>
        <v>0.27272727272727271</v>
      </c>
      <c r="K16" s="3">
        <f>RANK(J16,$J$16:$J$20)</f>
        <v>4</v>
      </c>
      <c r="L16" s="19"/>
      <c r="M16" s="14"/>
      <c r="N16" s="26"/>
      <c r="O16" s="14"/>
      <c r="P16" s="19"/>
      <c r="Q16" s="19"/>
      <c r="R16" s="19"/>
      <c r="S16" s="19"/>
      <c r="T16" s="19"/>
      <c r="U16" s="19"/>
    </row>
    <row r="17" spans="2:21" ht="15.75" thickBot="1" x14ac:dyDescent="0.3">
      <c r="I17" s="21" t="s">
        <v>2</v>
      </c>
      <c r="J17" s="15">
        <f t="shared" ref="J17:J18" si="1">(G21)/(G13+G21)</f>
        <v>0.54545454545454541</v>
      </c>
      <c r="K17" s="3">
        <f t="shared" ref="K17:K20" si="2">RANK(J17,$J$16:$J$20)</f>
        <v>2</v>
      </c>
      <c r="L17" s="19"/>
      <c r="M17" s="14"/>
      <c r="N17" s="26"/>
      <c r="O17" s="14"/>
      <c r="P17" s="19"/>
      <c r="Q17" s="19"/>
      <c r="R17" s="19"/>
      <c r="S17" s="19"/>
      <c r="T17" s="19"/>
      <c r="U17" s="19"/>
    </row>
    <row r="18" spans="2:21" x14ac:dyDescent="0.25">
      <c r="B18" s="36" t="s">
        <v>42</v>
      </c>
      <c r="C18" s="34" t="s">
        <v>43</v>
      </c>
      <c r="D18" s="34" t="s">
        <v>50</v>
      </c>
      <c r="E18" s="34" t="s">
        <v>44</v>
      </c>
      <c r="F18" s="34" t="s">
        <v>45</v>
      </c>
      <c r="G18" s="41" t="s">
        <v>37</v>
      </c>
      <c r="I18" s="21" t="s">
        <v>3</v>
      </c>
      <c r="J18" s="15">
        <f>(G22)/(G14+G22)</f>
        <v>0.63636363636363635</v>
      </c>
      <c r="K18" s="3">
        <f t="shared" si="2"/>
        <v>1</v>
      </c>
      <c r="L18" s="19"/>
      <c r="M18" s="14"/>
      <c r="N18" s="26"/>
      <c r="O18" s="14"/>
      <c r="P18" s="19"/>
      <c r="Q18" s="19"/>
      <c r="R18" s="19"/>
      <c r="S18" s="19"/>
      <c r="T18" s="19"/>
      <c r="U18" s="19"/>
    </row>
    <row r="19" spans="2:21" x14ac:dyDescent="0.25">
      <c r="B19" s="37"/>
      <c r="C19" s="44"/>
      <c r="D19" s="44"/>
      <c r="E19" s="44"/>
      <c r="F19" s="44"/>
      <c r="G19" s="42"/>
      <c r="I19" s="21" t="s">
        <v>4</v>
      </c>
      <c r="J19" s="15">
        <f>(G23)/(G15+G23)</f>
        <v>0.54545454545454541</v>
      </c>
      <c r="K19" s="3">
        <f t="shared" si="2"/>
        <v>2</v>
      </c>
      <c r="L19" s="19"/>
      <c r="M19" s="14"/>
      <c r="N19" s="26"/>
      <c r="O19" s="14"/>
      <c r="P19" s="19"/>
      <c r="Q19" s="19"/>
      <c r="R19" s="19"/>
      <c r="S19" s="19"/>
      <c r="T19" s="19"/>
      <c r="U19" s="19"/>
    </row>
    <row r="20" spans="2:21" x14ac:dyDescent="0.25">
      <c r="B20" s="1" t="s">
        <v>1</v>
      </c>
      <c r="C20" s="3">
        <f>ABS($C$8-Agregados!M4)+ABS($D$8-Agregados!N4)</f>
        <v>1</v>
      </c>
      <c r="D20" s="3">
        <f>ABS($E$8-Agregados!O4)+ABS($F$8-Agregados!P4)</f>
        <v>0</v>
      </c>
      <c r="E20" s="3">
        <f>ABS($G$8-Agregados!Q4)+ABS($H$8-Agregados!R4)</f>
        <v>4</v>
      </c>
      <c r="F20" s="3">
        <f>ABS($I$8-Agregados!S4)+ABS($J$8-Agregados!T4)</f>
        <v>1</v>
      </c>
      <c r="G20" s="4">
        <f>SUM(C20:F20)</f>
        <v>6</v>
      </c>
      <c r="I20" s="21" t="s">
        <v>67</v>
      </c>
      <c r="J20" s="15">
        <f>(G24)/(G16+G24)</f>
        <v>0.27272727272727271</v>
      </c>
      <c r="K20" s="3">
        <f t="shared" si="2"/>
        <v>4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2:21" x14ac:dyDescent="0.25">
      <c r="B21" s="1" t="s">
        <v>2</v>
      </c>
      <c r="C21" s="3">
        <f>ABS($C$8-Agregados!M5)+ABS($D$8-Agregados!N5)</f>
        <v>3</v>
      </c>
      <c r="D21" s="3">
        <f>ABS($E$8-Agregados!O5)+ABS($F$8-Agregados!P5)</f>
        <v>2</v>
      </c>
      <c r="E21" s="3">
        <f>ABS($G$8-Agregados!Q5)+ABS($H$8-Agregados!R5)</f>
        <v>0</v>
      </c>
      <c r="F21" s="3">
        <f>ABS($I$8-Agregados!S5)+ABS($J$8-Agregados!T5)</f>
        <v>7</v>
      </c>
      <c r="G21" s="4">
        <f t="shared" ref="G21:G24" si="3">SUM(C21:F21)</f>
        <v>12</v>
      </c>
      <c r="I21" s="12"/>
      <c r="J21" s="12"/>
      <c r="K21" s="12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2:21" x14ac:dyDescent="0.25">
      <c r="B22" s="1" t="s">
        <v>3</v>
      </c>
      <c r="C22" s="3">
        <f>ABS($C$8-Agregados!M6)+ABS($D$8-Agregados!N6)</f>
        <v>5</v>
      </c>
      <c r="D22" s="3">
        <f>ABS($E$8-Agregados!O6)+ABS($F$8-Agregados!P6)</f>
        <v>4</v>
      </c>
      <c r="E22" s="3">
        <f>ABS($G$8-Agregados!Q6)+ABS($H$8-Agregados!R6)</f>
        <v>2</v>
      </c>
      <c r="F22" s="3">
        <f>ABS($I$8-Agregados!S6)+ABS($J$8-Agregados!T6)</f>
        <v>3</v>
      </c>
      <c r="G22" s="4">
        <f t="shared" si="3"/>
        <v>14</v>
      </c>
      <c r="I22" s="19"/>
      <c r="J22" s="19"/>
      <c r="K22" s="19"/>
    </row>
    <row r="23" spans="2:21" x14ac:dyDescent="0.25">
      <c r="B23" s="1" t="s">
        <v>4</v>
      </c>
      <c r="C23" s="3">
        <f>ABS($C$8-Agregados!M7)+ABS($D$8-Agregados!N7)</f>
        <v>2</v>
      </c>
      <c r="D23" s="3">
        <f>ABS($E$8-Agregados!O7)+ABS($F$8-Agregados!P7)</f>
        <v>3</v>
      </c>
      <c r="E23" s="3">
        <f>ABS($G$8-Agregados!Q7)+ABS($H$8-Agregados!R7)</f>
        <v>4</v>
      </c>
      <c r="F23" s="3">
        <f>ABS($I$8-Agregados!S7)+ABS($J$8-Agregados!T7)</f>
        <v>3</v>
      </c>
      <c r="G23" s="4">
        <f t="shared" si="3"/>
        <v>12</v>
      </c>
      <c r="I23" s="19"/>
      <c r="J23" s="19"/>
      <c r="K23" s="19"/>
    </row>
    <row r="24" spans="2:21" x14ac:dyDescent="0.25">
      <c r="B24" s="1" t="s">
        <v>67</v>
      </c>
      <c r="C24" s="3">
        <f>ABS($C$8-'Agregados A1'!M8)+ABS($D$8-'Agregados A1'!N8)</f>
        <v>1</v>
      </c>
      <c r="D24" s="3">
        <f>ABS($E$8-'Agregados A1'!O8)+ABS($F$8-'Agregados A1'!P8)</f>
        <v>0</v>
      </c>
      <c r="E24" s="3">
        <f>ABS($G$8-'Agregados A1'!Q8)+ABS($H$8-'Agregados A1'!R8)</f>
        <v>4</v>
      </c>
      <c r="F24" s="3">
        <f>ABS($I$8-'Agregados A1'!S8)+ABS($J$8-'Agregados A1'!T8)</f>
        <v>1</v>
      </c>
      <c r="G24" s="4">
        <f t="shared" si="3"/>
        <v>6</v>
      </c>
      <c r="I24" s="19"/>
      <c r="J24" s="19"/>
      <c r="K24" s="19"/>
    </row>
    <row r="25" spans="2:21" x14ac:dyDescent="0.25">
      <c r="I25" s="19"/>
      <c r="J25" s="19"/>
      <c r="K25" s="19"/>
    </row>
    <row r="26" spans="2:21" x14ac:dyDescent="0.25">
      <c r="I26" s="19"/>
      <c r="J26" s="19"/>
      <c r="K26" s="19"/>
    </row>
    <row r="27" spans="2:21" x14ac:dyDescent="0.25">
      <c r="I27" s="19"/>
      <c r="J27" s="19"/>
      <c r="K27" s="19"/>
    </row>
    <row r="28" spans="2:21" x14ac:dyDescent="0.25">
      <c r="I28" s="19"/>
      <c r="J28" s="19"/>
      <c r="K28" s="19"/>
    </row>
    <row r="29" spans="2:21" x14ac:dyDescent="0.25">
      <c r="I29" s="19"/>
      <c r="J29" s="19"/>
      <c r="K29" s="19"/>
    </row>
    <row r="30" spans="2:21" x14ac:dyDescent="0.25">
      <c r="I30" s="25"/>
      <c r="J30" s="25"/>
      <c r="K30" s="25"/>
    </row>
    <row r="31" spans="2:21" x14ac:dyDescent="0.25">
      <c r="I31" s="19"/>
      <c r="J31" s="19"/>
      <c r="K31" s="19"/>
    </row>
    <row r="32" spans="2:21" x14ac:dyDescent="0.25">
      <c r="I32" s="19"/>
      <c r="J32" s="19"/>
      <c r="K32" s="19"/>
    </row>
    <row r="33" spans="9:11" x14ac:dyDescent="0.25">
      <c r="I33" s="19"/>
      <c r="J33" s="19"/>
      <c r="K33" s="19"/>
    </row>
    <row r="34" spans="9:11" x14ac:dyDescent="0.25">
      <c r="I34" s="19"/>
      <c r="J34" s="19"/>
      <c r="K34" s="19"/>
    </row>
    <row r="35" spans="9:11" x14ac:dyDescent="0.25">
      <c r="I35" s="19"/>
      <c r="J35" s="19"/>
      <c r="K35" s="19"/>
    </row>
    <row r="36" spans="9:11" x14ac:dyDescent="0.25">
      <c r="I36" s="19"/>
      <c r="J36" s="19"/>
      <c r="K36" s="19"/>
    </row>
    <row r="37" spans="9:11" x14ac:dyDescent="0.25">
      <c r="I37" s="19"/>
      <c r="J37" s="19"/>
      <c r="K37" s="19"/>
    </row>
    <row r="38" spans="9:11" x14ac:dyDescent="0.25">
      <c r="I38" s="19"/>
      <c r="J38" s="19"/>
      <c r="K38" s="19"/>
    </row>
  </sheetData>
  <mergeCells count="25">
    <mergeCell ref="I14:I15"/>
    <mergeCell ref="J14:J15"/>
    <mergeCell ref="K14:K15"/>
    <mergeCell ref="B18:B19"/>
    <mergeCell ref="C18:C19"/>
    <mergeCell ref="D18:D19"/>
    <mergeCell ref="E18:E19"/>
    <mergeCell ref="F18:F19"/>
    <mergeCell ref="G18:G19"/>
    <mergeCell ref="B10:B11"/>
    <mergeCell ref="C10:C11"/>
    <mergeCell ref="D10:D11"/>
    <mergeCell ref="E10:E11"/>
    <mergeCell ref="F10:F11"/>
    <mergeCell ref="G10:G11"/>
    <mergeCell ref="B2:B3"/>
    <mergeCell ref="C2:D2"/>
    <mergeCell ref="E2:F2"/>
    <mergeCell ref="G2:H2"/>
    <mergeCell ref="I2:J2"/>
    <mergeCell ref="B6:B7"/>
    <mergeCell ref="C6:D6"/>
    <mergeCell ref="E6:F6"/>
    <mergeCell ref="G6:H6"/>
    <mergeCell ref="I6:J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Julgamentos DMs</vt:lpstr>
      <vt:lpstr>Agregados</vt:lpstr>
      <vt:lpstr>Método</vt:lpstr>
      <vt:lpstr>Agregados A+</vt:lpstr>
      <vt:lpstr>Método A+</vt:lpstr>
      <vt:lpstr>Agregados A-</vt:lpstr>
      <vt:lpstr>Método A-</vt:lpstr>
      <vt:lpstr>Agregados A3</vt:lpstr>
      <vt:lpstr>Método A3</vt:lpstr>
      <vt:lpstr>Agregados A1</vt:lpstr>
      <vt:lpstr>Método 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2019-06-03T17:51:42Z</dcterms:created>
  <dcterms:modified xsi:type="dcterms:W3CDTF">2022-07-27T07:40:34Z</dcterms:modified>
</cp:coreProperties>
</file>