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80" windowWidth="14355" windowHeight="4620" tabRatio="932" activeTab="5"/>
  </bookViews>
  <sheets>
    <sheet name="Julgamentos DMs" sheetId="1" r:id="rId1"/>
    <sheet name="Método" sheetId="4" r:id="rId2"/>
    <sheet name="Método A+" sheetId="5" r:id="rId3"/>
    <sheet name="Método A-" sheetId="6" r:id="rId4"/>
    <sheet name="Método A3" sheetId="7" r:id="rId5"/>
    <sheet name="Método A1" sheetId="8" r:id="rId6"/>
  </sheets>
  <calcPr calcId="144525"/>
</workbook>
</file>

<file path=xl/calcChain.xml><?xml version="1.0" encoding="utf-8"?>
<calcChain xmlns="http://schemas.openxmlformats.org/spreadsheetml/2006/main">
  <c r="D53" i="8" l="1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C53" i="8"/>
  <c r="L26" i="8"/>
  <c r="K26" i="8"/>
  <c r="J26" i="8"/>
  <c r="I26" i="8"/>
  <c r="F26" i="8"/>
  <c r="E26" i="8"/>
  <c r="D26" i="8"/>
  <c r="J20" i="8" s="1"/>
  <c r="C26" i="8"/>
  <c r="I20" i="8" s="1"/>
  <c r="D33" i="8" s="1"/>
  <c r="L25" i="8"/>
  <c r="K25" i="8"/>
  <c r="J25" i="8"/>
  <c r="I25" i="8"/>
  <c r="F25" i="8"/>
  <c r="E25" i="8"/>
  <c r="D25" i="8"/>
  <c r="J19" i="8" s="1"/>
  <c r="C25" i="8"/>
  <c r="I19" i="8" s="1"/>
  <c r="D32" i="8" s="1"/>
  <c r="L24" i="8"/>
  <c r="K24" i="8"/>
  <c r="J24" i="8"/>
  <c r="I24" i="8"/>
  <c r="F24" i="8"/>
  <c r="E24" i="8"/>
  <c r="D24" i="8"/>
  <c r="J18" i="8" s="1"/>
  <c r="C24" i="8"/>
  <c r="I18" i="8" s="1"/>
  <c r="D31" i="8" s="1"/>
  <c r="L23" i="8"/>
  <c r="K23" i="8"/>
  <c r="J23" i="8"/>
  <c r="I23" i="8"/>
  <c r="F23" i="8"/>
  <c r="E23" i="8"/>
  <c r="K17" i="8" s="1"/>
  <c r="D23" i="8"/>
  <c r="J17" i="8" s="1"/>
  <c r="C23" i="8"/>
  <c r="I17" i="8" s="1"/>
  <c r="L20" i="8"/>
  <c r="K20" i="8"/>
  <c r="F20" i="8"/>
  <c r="E20" i="8"/>
  <c r="D20" i="8"/>
  <c r="C20" i="8"/>
  <c r="C33" i="8" s="1"/>
  <c r="L19" i="8"/>
  <c r="K19" i="8"/>
  <c r="F19" i="8"/>
  <c r="E19" i="8"/>
  <c r="D19" i="8"/>
  <c r="C19" i="8"/>
  <c r="C32" i="8" s="1"/>
  <c r="L18" i="8"/>
  <c r="K18" i="8"/>
  <c r="F18" i="8"/>
  <c r="E18" i="8"/>
  <c r="D18" i="8"/>
  <c r="C18" i="8"/>
  <c r="C31" i="8" s="1"/>
  <c r="L17" i="8"/>
  <c r="F17" i="8"/>
  <c r="E17" i="8"/>
  <c r="D17" i="8"/>
  <c r="C17" i="8"/>
  <c r="C30" i="8" s="1"/>
  <c r="D70" i="7"/>
  <c r="D61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C53" i="7"/>
  <c r="L26" i="7"/>
  <c r="K26" i="7"/>
  <c r="J26" i="7"/>
  <c r="I26" i="7"/>
  <c r="F26" i="7"/>
  <c r="E26" i="7"/>
  <c r="D26" i="7"/>
  <c r="C26" i="7"/>
  <c r="L25" i="7"/>
  <c r="K25" i="7"/>
  <c r="J25" i="7"/>
  <c r="I25" i="7"/>
  <c r="F25" i="7"/>
  <c r="E25" i="7"/>
  <c r="D25" i="7"/>
  <c r="C25" i="7"/>
  <c r="L24" i="7"/>
  <c r="K24" i="7"/>
  <c r="J24" i="7"/>
  <c r="I24" i="7"/>
  <c r="F24" i="7"/>
  <c r="E24" i="7"/>
  <c r="D24" i="7"/>
  <c r="C24" i="7"/>
  <c r="L23" i="7"/>
  <c r="K23" i="7"/>
  <c r="J23" i="7"/>
  <c r="I23" i="7"/>
  <c r="F23" i="7"/>
  <c r="E23" i="7"/>
  <c r="D23" i="7"/>
  <c r="C23" i="7"/>
  <c r="L20" i="7"/>
  <c r="K20" i="7"/>
  <c r="J20" i="7"/>
  <c r="I20" i="7"/>
  <c r="D33" i="7" s="1"/>
  <c r="F20" i="7"/>
  <c r="E20" i="7"/>
  <c r="D20" i="7"/>
  <c r="C20" i="7"/>
  <c r="C33" i="7" s="1"/>
  <c r="L19" i="7"/>
  <c r="K19" i="7"/>
  <c r="J19" i="7"/>
  <c r="I19" i="7"/>
  <c r="D32" i="7" s="1"/>
  <c r="F19" i="7"/>
  <c r="E19" i="7"/>
  <c r="D19" i="7"/>
  <c r="C19" i="7"/>
  <c r="C32" i="7" s="1"/>
  <c r="L18" i="7"/>
  <c r="K18" i="7"/>
  <c r="J18" i="7"/>
  <c r="I18" i="7"/>
  <c r="D31" i="7" s="1"/>
  <c r="F18" i="7"/>
  <c r="E18" i="7"/>
  <c r="D18" i="7"/>
  <c r="C18" i="7"/>
  <c r="C31" i="7" s="1"/>
  <c r="L17" i="7"/>
  <c r="K17" i="7"/>
  <c r="J17" i="7"/>
  <c r="I17" i="7"/>
  <c r="D30" i="7" s="1"/>
  <c r="F17" i="7"/>
  <c r="E17" i="7"/>
  <c r="D17" i="7"/>
  <c r="C17" i="7"/>
  <c r="C30" i="7" s="1"/>
  <c r="F33" i="8" l="1"/>
  <c r="E33" i="8"/>
  <c r="E32" i="8"/>
  <c r="F32" i="8" s="1"/>
  <c r="F31" i="8"/>
  <c r="E31" i="8"/>
  <c r="G31" i="8" s="1"/>
  <c r="G33" i="8"/>
  <c r="D30" i="8"/>
  <c r="G30" i="8" s="1"/>
  <c r="E30" i="8"/>
  <c r="F30" i="8" s="1"/>
  <c r="E32" i="7"/>
  <c r="F32" i="7" s="1"/>
  <c r="F33" i="7"/>
  <c r="E33" i="7"/>
  <c r="E30" i="7"/>
  <c r="F30" i="7" s="1"/>
  <c r="F31" i="7"/>
  <c r="E31" i="7"/>
  <c r="G31" i="7"/>
  <c r="G32" i="7"/>
  <c r="G33" i="7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C53" i="6"/>
  <c r="L26" i="6"/>
  <c r="K26" i="6"/>
  <c r="J26" i="6"/>
  <c r="I26" i="6"/>
  <c r="F26" i="6"/>
  <c r="E26" i="6"/>
  <c r="D26" i="6"/>
  <c r="C26" i="6"/>
  <c r="L25" i="6"/>
  <c r="K25" i="6"/>
  <c r="J25" i="6"/>
  <c r="I25" i="6"/>
  <c r="F25" i="6"/>
  <c r="E25" i="6"/>
  <c r="D25" i="6"/>
  <c r="C25" i="6"/>
  <c r="L24" i="6"/>
  <c r="K24" i="6"/>
  <c r="J24" i="6"/>
  <c r="I24" i="6"/>
  <c r="F24" i="6"/>
  <c r="E24" i="6"/>
  <c r="D24" i="6"/>
  <c r="C24" i="6"/>
  <c r="L23" i="6"/>
  <c r="K23" i="6"/>
  <c r="J23" i="6"/>
  <c r="I23" i="6"/>
  <c r="F23" i="6"/>
  <c r="E23" i="6"/>
  <c r="D23" i="6"/>
  <c r="J17" i="6" s="1"/>
  <c r="C23" i="6"/>
  <c r="L20" i="6"/>
  <c r="K20" i="6"/>
  <c r="J20" i="6"/>
  <c r="I20" i="6"/>
  <c r="D33" i="6" s="1"/>
  <c r="F20" i="6"/>
  <c r="E20" i="6"/>
  <c r="D20" i="6"/>
  <c r="C20" i="6"/>
  <c r="C33" i="6" s="1"/>
  <c r="L19" i="6"/>
  <c r="K19" i="6"/>
  <c r="J19" i="6"/>
  <c r="I19" i="6"/>
  <c r="D32" i="6" s="1"/>
  <c r="F19" i="6"/>
  <c r="E19" i="6"/>
  <c r="D19" i="6"/>
  <c r="C19" i="6"/>
  <c r="C32" i="6" s="1"/>
  <c r="L18" i="6"/>
  <c r="K18" i="6"/>
  <c r="J18" i="6"/>
  <c r="I18" i="6"/>
  <c r="D31" i="6" s="1"/>
  <c r="F18" i="6"/>
  <c r="E18" i="6"/>
  <c r="D18" i="6"/>
  <c r="C18" i="6"/>
  <c r="C31" i="6" s="1"/>
  <c r="L17" i="6"/>
  <c r="K17" i="6"/>
  <c r="I17" i="6"/>
  <c r="D30" i="6" s="1"/>
  <c r="F17" i="6"/>
  <c r="E17" i="6"/>
  <c r="D17" i="6"/>
  <c r="C17" i="6"/>
  <c r="C30" i="6" s="1"/>
  <c r="D93" i="5"/>
  <c r="D94" i="5"/>
  <c r="D95" i="5"/>
  <c r="D96" i="5"/>
  <c r="D92" i="5"/>
  <c r="C96" i="5"/>
  <c r="C88" i="5"/>
  <c r="J88" i="5" s="1"/>
  <c r="N88" i="5" s="1"/>
  <c r="D88" i="5"/>
  <c r="K88" i="5" s="1"/>
  <c r="E88" i="5"/>
  <c r="L88" i="5" s="1"/>
  <c r="F88" i="5"/>
  <c r="C81" i="5"/>
  <c r="J81" i="5" s="1"/>
  <c r="N81" i="5" s="1"/>
  <c r="D81" i="5"/>
  <c r="K81" i="5" s="1"/>
  <c r="E81" i="5"/>
  <c r="L81" i="5" s="1"/>
  <c r="F81" i="5"/>
  <c r="M88" i="5"/>
  <c r="M81" i="5"/>
  <c r="D70" i="5"/>
  <c r="E70" i="5"/>
  <c r="F70" i="5"/>
  <c r="G70" i="5"/>
  <c r="D61" i="5"/>
  <c r="E61" i="5"/>
  <c r="F61" i="5"/>
  <c r="G61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C53" i="5"/>
  <c r="L26" i="5"/>
  <c r="K26" i="5"/>
  <c r="J26" i="5"/>
  <c r="I26" i="5"/>
  <c r="F26" i="5"/>
  <c r="E26" i="5"/>
  <c r="K20" i="5" s="1"/>
  <c r="D26" i="5"/>
  <c r="J20" i="5" s="1"/>
  <c r="C26" i="5"/>
  <c r="I20" i="5" s="1"/>
  <c r="L25" i="5"/>
  <c r="K25" i="5"/>
  <c r="J25" i="5"/>
  <c r="I25" i="5"/>
  <c r="F25" i="5"/>
  <c r="E25" i="5"/>
  <c r="K19" i="5" s="1"/>
  <c r="D25" i="5"/>
  <c r="J19" i="5" s="1"/>
  <c r="C25" i="5"/>
  <c r="I19" i="5" s="1"/>
  <c r="L24" i="5"/>
  <c r="K24" i="5"/>
  <c r="J24" i="5"/>
  <c r="I24" i="5"/>
  <c r="F24" i="5"/>
  <c r="E24" i="5"/>
  <c r="K18" i="5" s="1"/>
  <c r="D24" i="5"/>
  <c r="J18" i="5" s="1"/>
  <c r="C24" i="5"/>
  <c r="I18" i="5" s="1"/>
  <c r="L23" i="5"/>
  <c r="K23" i="5"/>
  <c r="J23" i="5"/>
  <c r="I23" i="5"/>
  <c r="F23" i="5"/>
  <c r="L17" i="5" s="1"/>
  <c r="E23" i="5"/>
  <c r="K17" i="5" s="1"/>
  <c r="D23" i="5"/>
  <c r="J17" i="5" s="1"/>
  <c r="C23" i="5"/>
  <c r="I17" i="5" s="1"/>
  <c r="L20" i="5"/>
  <c r="F20" i="5"/>
  <c r="E20" i="5"/>
  <c r="D20" i="5"/>
  <c r="C20" i="5"/>
  <c r="L19" i="5"/>
  <c r="F19" i="5"/>
  <c r="E19" i="5"/>
  <c r="D19" i="5"/>
  <c r="C19" i="5"/>
  <c r="L18" i="5"/>
  <c r="F18" i="5"/>
  <c r="E18" i="5"/>
  <c r="D18" i="5"/>
  <c r="C18" i="5"/>
  <c r="F17" i="5"/>
  <c r="E17" i="5"/>
  <c r="D17" i="5"/>
  <c r="C17" i="5"/>
  <c r="C88" i="4"/>
  <c r="C89" i="4"/>
  <c r="C90" i="4"/>
  <c r="C87" i="4"/>
  <c r="AD52" i="8" l="1"/>
  <c r="V52" i="8"/>
  <c r="N52" i="8"/>
  <c r="F52" i="8"/>
  <c r="Z51" i="8"/>
  <c r="R51" i="8"/>
  <c r="J51" i="8"/>
  <c r="AD50" i="8"/>
  <c r="AD73" i="8" s="1"/>
  <c r="V50" i="8"/>
  <c r="V74" i="8" s="1"/>
  <c r="N50" i="8"/>
  <c r="F50" i="8"/>
  <c r="Z49" i="8"/>
  <c r="Z74" i="8" s="1"/>
  <c r="R49" i="8"/>
  <c r="R73" i="8" s="1"/>
  <c r="J49" i="8"/>
  <c r="AC52" i="8"/>
  <c r="U52" i="8"/>
  <c r="M52" i="8"/>
  <c r="E52" i="8"/>
  <c r="Y51" i="8"/>
  <c r="Q51" i="8"/>
  <c r="I51" i="8"/>
  <c r="AC50" i="8"/>
  <c r="AC73" i="8" s="1"/>
  <c r="U50" i="8"/>
  <c r="U74" i="8" s="1"/>
  <c r="M50" i="8"/>
  <c r="E50" i="8"/>
  <c r="Y49" i="8"/>
  <c r="Y74" i="8" s="1"/>
  <c r="Q49" i="8"/>
  <c r="I49" i="8"/>
  <c r="I74" i="8" s="1"/>
  <c r="AB52" i="8"/>
  <c r="T52" i="8"/>
  <c r="L52" i="8"/>
  <c r="D52" i="8"/>
  <c r="X51" i="8"/>
  <c r="P51" i="8"/>
  <c r="H51" i="8"/>
  <c r="AB50" i="8"/>
  <c r="AB73" i="8" s="1"/>
  <c r="T50" i="8"/>
  <c r="T74" i="8" s="1"/>
  <c r="L50" i="8"/>
  <c r="D50" i="8"/>
  <c r="X49" i="8"/>
  <c r="P49" i="8"/>
  <c r="P74" i="8" s="1"/>
  <c r="H49" i="8"/>
  <c r="H74" i="8" s="1"/>
  <c r="AA52" i="8"/>
  <c r="S52" i="8"/>
  <c r="K52" i="8"/>
  <c r="C52" i="8"/>
  <c r="D60" i="8" s="1"/>
  <c r="D69" i="8" s="1"/>
  <c r="W51" i="8"/>
  <c r="O51" i="8"/>
  <c r="G51" i="8"/>
  <c r="AA50" i="8"/>
  <c r="AA73" i="8" s="1"/>
  <c r="S50" i="8"/>
  <c r="S74" i="8" s="1"/>
  <c r="K50" i="8"/>
  <c r="C50" i="8"/>
  <c r="W49" i="8"/>
  <c r="W73" i="8" s="1"/>
  <c r="O49" i="8"/>
  <c r="O74" i="8" s="1"/>
  <c r="G49" i="8"/>
  <c r="G74" i="8" s="1"/>
  <c r="Z52" i="8"/>
  <c r="R52" i="8"/>
  <c r="J52" i="8"/>
  <c r="AD51" i="8"/>
  <c r="V51" i="8"/>
  <c r="N51" i="8"/>
  <c r="F51" i="8"/>
  <c r="Z50" i="8"/>
  <c r="Z73" i="8" s="1"/>
  <c r="R50" i="8"/>
  <c r="R74" i="8" s="1"/>
  <c r="J50" i="8"/>
  <c r="E58" i="8" s="1"/>
  <c r="E67" i="8" s="1"/>
  <c r="AD49" i="8"/>
  <c r="AD74" i="8" s="1"/>
  <c r="V49" i="8"/>
  <c r="V73" i="8" s="1"/>
  <c r="N49" i="8"/>
  <c r="N74" i="8" s="1"/>
  <c r="F49" i="8"/>
  <c r="F74" i="8" s="1"/>
  <c r="Y52" i="8"/>
  <c r="Q52" i="8"/>
  <c r="I52" i="8"/>
  <c r="AC51" i="8"/>
  <c r="U51" i="8"/>
  <c r="M51" i="8"/>
  <c r="E51" i="8"/>
  <c r="Y50" i="8"/>
  <c r="Y73" i="8" s="1"/>
  <c r="Q50" i="8"/>
  <c r="I50" i="8"/>
  <c r="AC49" i="8"/>
  <c r="AC74" i="8" s="1"/>
  <c r="U49" i="8"/>
  <c r="U73" i="8" s="1"/>
  <c r="M49" i="8"/>
  <c r="M74" i="8" s="1"/>
  <c r="E49" i="8"/>
  <c r="E74" i="8" s="1"/>
  <c r="X52" i="8"/>
  <c r="G60" i="8" s="1"/>
  <c r="G69" i="8" s="1"/>
  <c r="P52" i="8"/>
  <c r="H52" i="8"/>
  <c r="AB51" i="8"/>
  <c r="T51" i="8"/>
  <c r="L51" i="8"/>
  <c r="D51" i="8"/>
  <c r="X50" i="8"/>
  <c r="P50" i="8"/>
  <c r="H50" i="8"/>
  <c r="AB49" i="8"/>
  <c r="AB74" i="8" s="1"/>
  <c r="T49" i="8"/>
  <c r="T73" i="8" s="1"/>
  <c r="L49" i="8"/>
  <c r="L74" i="8" s="1"/>
  <c r="D49" i="8"/>
  <c r="D74" i="8" s="1"/>
  <c r="W52" i="8"/>
  <c r="O52" i="8"/>
  <c r="G52" i="8"/>
  <c r="AA51" i="8"/>
  <c r="S51" i="8"/>
  <c r="K51" i="8"/>
  <c r="C51" i="8"/>
  <c r="W50" i="8"/>
  <c r="W74" i="8" s="1"/>
  <c r="O50" i="8"/>
  <c r="G50" i="8"/>
  <c r="AA49" i="8"/>
  <c r="AA74" i="8" s="1"/>
  <c r="S49" i="8"/>
  <c r="S73" i="8" s="1"/>
  <c r="K49" i="8"/>
  <c r="K74" i="8" s="1"/>
  <c r="C49" i="8"/>
  <c r="G32" i="8"/>
  <c r="O49" i="7"/>
  <c r="O74" i="7" s="1"/>
  <c r="F51" i="7"/>
  <c r="F73" i="7" s="1"/>
  <c r="Y52" i="7"/>
  <c r="Q50" i="7"/>
  <c r="H52" i="7"/>
  <c r="L51" i="7"/>
  <c r="L73" i="7" s="1"/>
  <c r="H50" i="7"/>
  <c r="AB49" i="7"/>
  <c r="AB74" i="7" s="1"/>
  <c r="D49" i="7"/>
  <c r="D74" i="7" s="1"/>
  <c r="W52" i="7"/>
  <c r="S51" i="7"/>
  <c r="W50" i="7"/>
  <c r="W74" i="7" s="1"/>
  <c r="O50" i="7"/>
  <c r="S49" i="7"/>
  <c r="S73" i="7" s="1"/>
  <c r="K49" i="7"/>
  <c r="K74" i="7" s="1"/>
  <c r="G30" i="7"/>
  <c r="AD52" i="7" s="1"/>
  <c r="E31" i="6"/>
  <c r="F31" i="6" s="1"/>
  <c r="F32" i="6"/>
  <c r="E32" i="6"/>
  <c r="E33" i="6"/>
  <c r="G33" i="6" s="1"/>
  <c r="E30" i="6"/>
  <c r="G30" i="6" s="1"/>
  <c r="G31" i="6"/>
  <c r="G32" i="6"/>
  <c r="D30" i="5"/>
  <c r="C30" i="5"/>
  <c r="C31" i="5"/>
  <c r="C32" i="5"/>
  <c r="C33" i="5"/>
  <c r="D31" i="5"/>
  <c r="D32" i="5"/>
  <c r="D33" i="5"/>
  <c r="E30" i="5"/>
  <c r="F30" i="5" s="1"/>
  <c r="D57" i="8" l="1"/>
  <c r="C74" i="8"/>
  <c r="K73" i="8"/>
  <c r="F60" i="8"/>
  <c r="F69" i="8" s="1"/>
  <c r="O73" i="8"/>
  <c r="G57" i="8"/>
  <c r="X74" i="8"/>
  <c r="Q74" i="8"/>
  <c r="F58" i="8"/>
  <c r="F67" i="8" s="1"/>
  <c r="F73" i="8"/>
  <c r="E59" i="8"/>
  <c r="E68" i="8" s="1"/>
  <c r="J73" i="8"/>
  <c r="E73" i="8"/>
  <c r="D58" i="8"/>
  <c r="D67" i="8" s="1"/>
  <c r="I73" i="8"/>
  <c r="G58" i="8"/>
  <c r="G67" i="8" s="1"/>
  <c r="X73" i="8"/>
  <c r="M73" i="8"/>
  <c r="F59" i="8"/>
  <c r="F68" i="8" s="1"/>
  <c r="F61" i="8"/>
  <c r="F70" i="8" s="1"/>
  <c r="N73" i="8"/>
  <c r="J74" i="8"/>
  <c r="E57" i="8"/>
  <c r="D73" i="8"/>
  <c r="E60" i="8"/>
  <c r="E69" i="8" s="1"/>
  <c r="H73" i="8"/>
  <c r="F57" i="8"/>
  <c r="Q73" i="8"/>
  <c r="L73" i="8"/>
  <c r="P73" i="8"/>
  <c r="C73" i="8"/>
  <c r="D59" i="8"/>
  <c r="D68" i="8" s="1"/>
  <c r="G73" i="8"/>
  <c r="G59" i="8"/>
  <c r="G68" i="8" s="1"/>
  <c r="G61" i="8"/>
  <c r="G70" i="8" s="1"/>
  <c r="L49" i="7"/>
  <c r="L74" i="7" s="1"/>
  <c r="AC49" i="7"/>
  <c r="AC74" i="7" s="1"/>
  <c r="C49" i="7"/>
  <c r="K51" i="7"/>
  <c r="K73" i="7" s="1"/>
  <c r="T49" i="7"/>
  <c r="T73" i="7" s="1"/>
  <c r="AB51" i="7"/>
  <c r="I50" i="7"/>
  <c r="Q52" i="7"/>
  <c r="Z50" i="7"/>
  <c r="Z73" i="7" s="1"/>
  <c r="G49" i="7"/>
  <c r="G74" i="7" s="1"/>
  <c r="O51" i="7"/>
  <c r="O73" i="7" s="1"/>
  <c r="X49" i="7"/>
  <c r="D52" i="7"/>
  <c r="M50" i="7"/>
  <c r="U52" i="7"/>
  <c r="AD50" i="7"/>
  <c r="AD73" i="7" s="1"/>
  <c r="Q74" i="7"/>
  <c r="W51" i="7"/>
  <c r="D50" i="7"/>
  <c r="L52" i="7"/>
  <c r="U50" i="7"/>
  <c r="U74" i="7" s="1"/>
  <c r="AC52" i="7"/>
  <c r="J51" i="7"/>
  <c r="Y50" i="7"/>
  <c r="Y73" i="7" s="1"/>
  <c r="N51" i="7"/>
  <c r="N73" i="7" s="1"/>
  <c r="W49" i="7"/>
  <c r="W73" i="7" s="1"/>
  <c r="C52" i="7"/>
  <c r="L50" i="7"/>
  <c r="T52" i="7"/>
  <c r="AC50" i="7"/>
  <c r="AC73" i="7" s="1"/>
  <c r="J49" i="7"/>
  <c r="R51" i="7"/>
  <c r="AA49" i="7"/>
  <c r="AA74" i="7" s="1"/>
  <c r="X52" i="7"/>
  <c r="N49" i="7"/>
  <c r="N74" i="7" s="1"/>
  <c r="C50" i="7"/>
  <c r="T50" i="7"/>
  <c r="T74" i="7" s="1"/>
  <c r="AB52" i="7"/>
  <c r="I51" i="7"/>
  <c r="I73" i="7" s="1"/>
  <c r="R49" i="7"/>
  <c r="R73" i="7" s="1"/>
  <c r="Z51" i="7"/>
  <c r="AA51" i="7"/>
  <c r="P52" i="7"/>
  <c r="F49" i="7"/>
  <c r="F74" i="7" s="1"/>
  <c r="G52" i="7"/>
  <c r="P50" i="7"/>
  <c r="E51" i="7"/>
  <c r="E73" i="7" s="1"/>
  <c r="V51" i="7"/>
  <c r="K52" i="7"/>
  <c r="G50" i="7"/>
  <c r="O52" i="7"/>
  <c r="X50" i="7"/>
  <c r="E49" i="7"/>
  <c r="E74" i="7" s="1"/>
  <c r="M51" i="7"/>
  <c r="M73" i="7" s="1"/>
  <c r="V49" i="7"/>
  <c r="V73" i="7" s="1"/>
  <c r="AD51" i="7"/>
  <c r="K50" i="7"/>
  <c r="S52" i="7"/>
  <c r="AB50" i="7"/>
  <c r="AB73" i="7" s="1"/>
  <c r="I49" i="7"/>
  <c r="I74" i="7" s="1"/>
  <c r="Q51" i="7"/>
  <c r="Z49" i="7"/>
  <c r="Z74" i="7" s="1"/>
  <c r="F52" i="7"/>
  <c r="D51" i="7"/>
  <c r="D73" i="7" s="1"/>
  <c r="M49" i="7"/>
  <c r="M74" i="7" s="1"/>
  <c r="U51" i="7"/>
  <c r="AD49" i="7"/>
  <c r="AD74" i="7" s="1"/>
  <c r="J52" i="7"/>
  <c r="E60" i="7" s="1"/>
  <c r="E69" i="7" s="1"/>
  <c r="S50" i="7"/>
  <c r="S74" i="7" s="1"/>
  <c r="AA52" i="7"/>
  <c r="H51" i="7"/>
  <c r="H73" i="7" s="1"/>
  <c r="Q49" i="7"/>
  <c r="Y51" i="7"/>
  <c r="F50" i="7"/>
  <c r="N52" i="7"/>
  <c r="U49" i="7"/>
  <c r="U73" i="7" s="1"/>
  <c r="AC51" i="7"/>
  <c r="J50" i="7"/>
  <c r="R52" i="7"/>
  <c r="AA50" i="7"/>
  <c r="AA73" i="7" s="1"/>
  <c r="H49" i="7"/>
  <c r="H74" i="7" s="1"/>
  <c r="P51" i="7"/>
  <c r="P73" i="7" s="1"/>
  <c r="Y49" i="7"/>
  <c r="Y74" i="7" s="1"/>
  <c r="E52" i="7"/>
  <c r="N50" i="7"/>
  <c r="V52" i="7"/>
  <c r="C51" i="7"/>
  <c r="T51" i="7"/>
  <c r="I52" i="7"/>
  <c r="R50" i="7"/>
  <c r="R74" i="7" s="1"/>
  <c r="Z52" i="7"/>
  <c r="G51" i="7"/>
  <c r="G73" i="7" s="1"/>
  <c r="P49" i="7"/>
  <c r="P74" i="7" s="1"/>
  <c r="X51" i="7"/>
  <c r="G59" i="7" s="1"/>
  <c r="G68" i="7" s="1"/>
  <c r="E50" i="7"/>
  <c r="M52" i="7"/>
  <c r="V50" i="7"/>
  <c r="V74" i="7" s="1"/>
  <c r="F30" i="6"/>
  <c r="F33" i="6"/>
  <c r="E31" i="5"/>
  <c r="G31" i="5" s="1"/>
  <c r="G30" i="5"/>
  <c r="F52" i="5" s="1"/>
  <c r="E33" i="5"/>
  <c r="F33" i="5" s="1"/>
  <c r="E32" i="5"/>
  <c r="F32" i="5" s="1"/>
  <c r="V52" i="5"/>
  <c r="N52" i="5"/>
  <c r="J51" i="5"/>
  <c r="AD50" i="5"/>
  <c r="AD73" i="5" s="1"/>
  <c r="F50" i="5"/>
  <c r="Z49" i="5"/>
  <c r="Z74" i="5" s="1"/>
  <c r="AC52" i="5"/>
  <c r="U52" i="5"/>
  <c r="Y51" i="5"/>
  <c r="Q51" i="5"/>
  <c r="U50" i="5"/>
  <c r="U74" i="5" s="1"/>
  <c r="M50" i="5"/>
  <c r="Q49" i="5"/>
  <c r="I49" i="5"/>
  <c r="I74" i="5" s="1"/>
  <c r="L52" i="5"/>
  <c r="D52" i="5"/>
  <c r="H51" i="5"/>
  <c r="H73" i="5" s="1"/>
  <c r="AB50" i="5"/>
  <c r="AB73" i="5" s="1"/>
  <c r="D50" i="5"/>
  <c r="X49" i="5"/>
  <c r="AA52" i="5"/>
  <c r="S52" i="5"/>
  <c r="W51" i="5"/>
  <c r="O51" i="5"/>
  <c r="O73" i="5" s="1"/>
  <c r="S50" i="5"/>
  <c r="S74" i="5" s="1"/>
  <c r="K50" i="5"/>
  <c r="O49" i="5"/>
  <c r="O74" i="5" s="1"/>
  <c r="G49" i="5"/>
  <c r="G74" i="5" s="1"/>
  <c r="J52" i="5"/>
  <c r="AD51" i="5"/>
  <c r="F51" i="5"/>
  <c r="F73" i="5" s="1"/>
  <c r="Z50" i="5"/>
  <c r="Z73" i="5" s="1"/>
  <c r="AD49" i="5"/>
  <c r="AD74" i="5" s="1"/>
  <c r="V49" i="5"/>
  <c r="V73" i="5" s="1"/>
  <c r="Y52" i="5"/>
  <c r="Q52" i="5"/>
  <c r="U51" i="5"/>
  <c r="M51" i="5"/>
  <c r="M73" i="5" s="1"/>
  <c r="Q50" i="5"/>
  <c r="I50" i="5"/>
  <c r="M49" i="5"/>
  <c r="M74" i="5" s="1"/>
  <c r="E49" i="5"/>
  <c r="E74" i="5" s="1"/>
  <c r="H52" i="5"/>
  <c r="AB51" i="5"/>
  <c r="D51" i="5"/>
  <c r="D73" i="5" s="1"/>
  <c r="X50" i="5"/>
  <c r="AB49" i="5"/>
  <c r="AB74" i="5" s="1"/>
  <c r="T49" i="5"/>
  <c r="T73" i="5" s="1"/>
  <c r="W52" i="5"/>
  <c r="O52" i="5"/>
  <c r="S51" i="5"/>
  <c r="K51" i="5"/>
  <c r="K73" i="5" s="1"/>
  <c r="O50" i="5"/>
  <c r="G50" i="5"/>
  <c r="K49" i="5"/>
  <c r="K74" i="5" s="1"/>
  <c r="C49" i="5"/>
  <c r="D79" i="8" l="1"/>
  <c r="K79" i="8" s="1"/>
  <c r="D78" i="8"/>
  <c r="K78" i="8" s="1"/>
  <c r="D77" i="8"/>
  <c r="K77" i="8" s="1"/>
  <c r="D81" i="8"/>
  <c r="K81" i="8" s="1"/>
  <c r="D80" i="8"/>
  <c r="K80" i="8" s="1"/>
  <c r="G63" i="8"/>
  <c r="G66" i="8"/>
  <c r="G62" i="8"/>
  <c r="E63" i="8"/>
  <c r="E66" i="8"/>
  <c r="E62" i="8"/>
  <c r="F77" i="8"/>
  <c r="M77" i="8" s="1"/>
  <c r="F81" i="8"/>
  <c r="M81" i="8" s="1"/>
  <c r="F80" i="8"/>
  <c r="M80" i="8" s="1"/>
  <c r="F79" i="8"/>
  <c r="M79" i="8" s="1"/>
  <c r="F78" i="8"/>
  <c r="M78" i="8" s="1"/>
  <c r="E78" i="8"/>
  <c r="L78" i="8" s="1"/>
  <c r="E77" i="8"/>
  <c r="L77" i="8" s="1"/>
  <c r="E81" i="8"/>
  <c r="L81" i="8" s="1"/>
  <c r="E80" i="8"/>
  <c r="L80" i="8" s="1"/>
  <c r="E79" i="8"/>
  <c r="L79" i="8" s="1"/>
  <c r="E61" i="8"/>
  <c r="E70" i="8" s="1"/>
  <c r="D61" i="8"/>
  <c r="D70" i="8" s="1"/>
  <c r="F63" i="8"/>
  <c r="F66" i="8"/>
  <c r="F62" i="8"/>
  <c r="D88" i="8"/>
  <c r="K88" i="8" s="1"/>
  <c r="D87" i="8"/>
  <c r="K87" i="8" s="1"/>
  <c r="D86" i="8"/>
  <c r="K86" i="8" s="1"/>
  <c r="D85" i="8"/>
  <c r="K85" i="8" s="1"/>
  <c r="D84" i="8"/>
  <c r="K84" i="8" s="1"/>
  <c r="E88" i="8"/>
  <c r="L88" i="8" s="1"/>
  <c r="E87" i="8"/>
  <c r="L87" i="8" s="1"/>
  <c r="E86" i="8"/>
  <c r="L86" i="8" s="1"/>
  <c r="E85" i="8"/>
  <c r="L85" i="8" s="1"/>
  <c r="E84" i="8"/>
  <c r="L84" i="8" s="1"/>
  <c r="C88" i="8"/>
  <c r="J88" i="8" s="1"/>
  <c r="C87" i="8"/>
  <c r="J87" i="8" s="1"/>
  <c r="C86" i="8"/>
  <c r="J86" i="8" s="1"/>
  <c r="C85" i="8"/>
  <c r="J85" i="8" s="1"/>
  <c r="C84" i="8"/>
  <c r="J84" i="8" s="1"/>
  <c r="C80" i="8"/>
  <c r="J80" i="8" s="1"/>
  <c r="N80" i="8" s="1"/>
  <c r="C79" i="8"/>
  <c r="J79" i="8" s="1"/>
  <c r="N79" i="8" s="1"/>
  <c r="C78" i="8"/>
  <c r="J78" i="8" s="1"/>
  <c r="N78" i="8" s="1"/>
  <c r="C77" i="8"/>
  <c r="J77" i="8" s="1"/>
  <c r="N77" i="8" s="1"/>
  <c r="C81" i="8"/>
  <c r="J81" i="8" s="1"/>
  <c r="N81" i="8" s="1"/>
  <c r="F87" i="8"/>
  <c r="M87" i="8" s="1"/>
  <c r="F86" i="8"/>
  <c r="M86" i="8" s="1"/>
  <c r="F85" i="8"/>
  <c r="M85" i="8" s="1"/>
  <c r="F84" i="8"/>
  <c r="M84" i="8" s="1"/>
  <c r="F88" i="8"/>
  <c r="M88" i="8" s="1"/>
  <c r="D63" i="8"/>
  <c r="D66" i="8"/>
  <c r="D62" i="8"/>
  <c r="F60" i="7"/>
  <c r="F69" i="7" s="1"/>
  <c r="J74" i="7"/>
  <c r="E57" i="7"/>
  <c r="E58" i="7"/>
  <c r="E67" i="7" s="1"/>
  <c r="F59" i="7"/>
  <c r="F68" i="7" s="1"/>
  <c r="D58" i="7"/>
  <c r="D67" i="7" s="1"/>
  <c r="E59" i="7"/>
  <c r="E68" i="7" s="1"/>
  <c r="J73" i="7"/>
  <c r="D60" i="7"/>
  <c r="D69" i="7" s="1"/>
  <c r="G57" i="7"/>
  <c r="X74" i="7"/>
  <c r="G60" i="7"/>
  <c r="G69" i="7" s="1"/>
  <c r="D57" i="7"/>
  <c r="C74" i="7"/>
  <c r="C73" i="7"/>
  <c r="D59" i="7"/>
  <c r="D68" i="7" s="1"/>
  <c r="F58" i="7"/>
  <c r="F67" i="7" s="1"/>
  <c r="G58" i="7"/>
  <c r="G67" i="7" s="1"/>
  <c r="X73" i="7"/>
  <c r="F57" i="7"/>
  <c r="Q73" i="7"/>
  <c r="E87" i="7"/>
  <c r="L87" i="7" s="1"/>
  <c r="E86" i="7"/>
  <c r="L86" i="7" s="1"/>
  <c r="E85" i="7"/>
  <c r="L85" i="7" s="1"/>
  <c r="E84" i="7"/>
  <c r="L84" i="7" s="1"/>
  <c r="AD52" i="6"/>
  <c r="V52" i="6"/>
  <c r="N52" i="6"/>
  <c r="F52" i="6"/>
  <c r="Z51" i="6"/>
  <c r="R51" i="6"/>
  <c r="J51" i="6"/>
  <c r="AD50" i="6"/>
  <c r="AD73" i="6" s="1"/>
  <c r="V50" i="6"/>
  <c r="V74" i="6" s="1"/>
  <c r="N50" i="6"/>
  <c r="F50" i="6"/>
  <c r="Z49" i="6"/>
  <c r="Z74" i="6" s="1"/>
  <c r="R49" i="6"/>
  <c r="R73" i="6" s="1"/>
  <c r="J49" i="6"/>
  <c r="AC52" i="6"/>
  <c r="U52" i="6"/>
  <c r="M52" i="6"/>
  <c r="E52" i="6"/>
  <c r="Y51" i="6"/>
  <c r="Q51" i="6"/>
  <c r="I51" i="6"/>
  <c r="I73" i="6" s="1"/>
  <c r="AC50" i="6"/>
  <c r="AC73" i="6" s="1"/>
  <c r="U50" i="6"/>
  <c r="U74" i="6" s="1"/>
  <c r="M50" i="6"/>
  <c r="E50" i="6"/>
  <c r="Y49" i="6"/>
  <c r="Y74" i="6" s="1"/>
  <c r="Q49" i="6"/>
  <c r="I49" i="6"/>
  <c r="I74" i="6" s="1"/>
  <c r="AB52" i="6"/>
  <c r="T52" i="6"/>
  <c r="L52" i="6"/>
  <c r="D52" i="6"/>
  <c r="X51" i="6"/>
  <c r="P51" i="6"/>
  <c r="P73" i="6" s="1"/>
  <c r="H51" i="6"/>
  <c r="H73" i="6" s="1"/>
  <c r="AB50" i="6"/>
  <c r="AB73" i="6" s="1"/>
  <c r="T50" i="6"/>
  <c r="T74" i="6" s="1"/>
  <c r="L50" i="6"/>
  <c r="D50" i="6"/>
  <c r="X49" i="6"/>
  <c r="P49" i="6"/>
  <c r="P74" i="6" s="1"/>
  <c r="H49" i="6"/>
  <c r="H74" i="6" s="1"/>
  <c r="AA52" i="6"/>
  <c r="S52" i="6"/>
  <c r="K52" i="6"/>
  <c r="C52" i="6"/>
  <c r="W51" i="6"/>
  <c r="O51" i="6"/>
  <c r="O73" i="6" s="1"/>
  <c r="G51" i="6"/>
  <c r="G73" i="6" s="1"/>
  <c r="AA50" i="6"/>
  <c r="AA73" i="6" s="1"/>
  <c r="S50" i="6"/>
  <c r="S74" i="6" s="1"/>
  <c r="K50" i="6"/>
  <c r="C50" i="6"/>
  <c r="W49" i="6"/>
  <c r="W73" i="6" s="1"/>
  <c r="O49" i="6"/>
  <c r="O74" i="6" s="1"/>
  <c r="G49" i="6"/>
  <c r="G74" i="6" s="1"/>
  <c r="Z52" i="6"/>
  <c r="R52" i="6"/>
  <c r="J52" i="6"/>
  <c r="E60" i="6" s="1"/>
  <c r="E69" i="6" s="1"/>
  <c r="AD51" i="6"/>
  <c r="V51" i="6"/>
  <c r="N51" i="6"/>
  <c r="N73" i="6" s="1"/>
  <c r="F51" i="6"/>
  <c r="F73" i="6" s="1"/>
  <c r="Z50" i="6"/>
  <c r="Z73" i="6" s="1"/>
  <c r="R50" i="6"/>
  <c r="R74" i="6" s="1"/>
  <c r="J50" i="6"/>
  <c r="AD49" i="6"/>
  <c r="AD74" i="6" s="1"/>
  <c r="V49" i="6"/>
  <c r="V73" i="6" s="1"/>
  <c r="N49" i="6"/>
  <c r="N74" i="6" s="1"/>
  <c r="F49" i="6"/>
  <c r="F74" i="6" s="1"/>
  <c r="Y52" i="6"/>
  <c r="Q52" i="6"/>
  <c r="I52" i="6"/>
  <c r="AC51" i="6"/>
  <c r="U51" i="6"/>
  <c r="M51" i="6"/>
  <c r="M73" i="6" s="1"/>
  <c r="E51" i="6"/>
  <c r="E73" i="6" s="1"/>
  <c r="Y50" i="6"/>
  <c r="Y73" i="6" s="1"/>
  <c r="Q50" i="6"/>
  <c r="I50" i="6"/>
  <c r="AC49" i="6"/>
  <c r="AC74" i="6" s="1"/>
  <c r="U49" i="6"/>
  <c r="U73" i="6" s="1"/>
  <c r="M49" i="6"/>
  <c r="M74" i="6" s="1"/>
  <c r="E49" i="6"/>
  <c r="E74" i="6" s="1"/>
  <c r="X52" i="6"/>
  <c r="P52" i="6"/>
  <c r="H52" i="6"/>
  <c r="AB51" i="6"/>
  <c r="T51" i="6"/>
  <c r="L51" i="6"/>
  <c r="L73" i="6" s="1"/>
  <c r="D51" i="6"/>
  <c r="D73" i="6" s="1"/>
  <c r="X50" i="6"/>
  <c r="P50" i="6"/>
  <c r="H50" i="6"/>
  <c r="AB49" i="6"/>
  <c r="AB74" i="6" s="1"/>
  <c r="T49" i="6"/>
  <c r="T73" i="6" s="1"/>
  <c r="L49" i="6"/>
  <c r="L74" i="6" s="1"/>
  <c r="D49" i="6"/>
  <c r="D74" i="6" s="1"/>
  <c r="W52" i="6"/>
  <c r="O52" i="6"/>
  <c r="G52" i="6"/>
  <c r="AA51" i="6"/>
  <c r="S51" i="6"/>
  <c r="K51" i="6"/>
  <c r="K73" i="6" s="1"/>
  <c r="C51" i="6"/>
  <c r="W50" i="6"/>
  <c r="W74" i="6" s="1"/>
  <c r="O50" i="6"/>
  <c r="G50" i="6"/>
  <c r="AA49" i="6"/>
  <c r="AA74" i="6" s="1"/>
  <c r="S49" i="6"/>
  <c r="S73" i="6" s="1"/>
  <c r="K49" i="6"/>
  <c r="K74" i="6" s="1"/>
  <c r="C49" i="6"/>
  <c r="F31" i="5"/>
  <c r="G32" i="5"/>
  <c r="C51" i="5"/>
  <c r="L49" i="5"/>
  <c r="L74" i="5" s="1"/>
  <c r="T51" i="5"/>
  <c r="AC49" i="5"/>
  <c r="AC74" i="5" s="1"/>
  <c r="I52" i="5"/>
  <c r="R50" i="5"/>
  <c r="R74" i="5" s="1"/>
  <c r="Z52" i="5"/>
  <c r="G51" i="5"/>
  <c r="G73" i="5" s="1"/>
  <c r="P49" i="5"/>
  <c r="P74" i="5" s="1"/>
  <c r="X51" i="5"/>
  <c r="E50" i="5"/>
  <c r="M52" i="5"/>
  <c r="V50" i="5"/>
  <c r="V74" i="5" s="1"/>
  <c r="AA51" i="5"/>
  <c r="H50" i="5"/>
  <c r="P52" i="5"/>
  <c r="Y50" i="5"/>
  <c r="Y73" i="5" s="1"/>
  <c r="F49" i="5"/>
  <c r="F74" i="5" s="1"/>
  <c r="N51" i="5"/>
  <c r="N73" i="5" s="1"/>
  <c r="W49" i="5"/>
  <c r="W73" i="5" s="1"/>
  <c r="C52" i="5"/>
  <c r="L50" i="5"/>
  <c r="T52" i="5"/>
  <c r="AC50" i="5"/>
  <c r="AC73" i="5" s="1"/>
  <c r="J49" i="5"/>
  <c r="R51" i="5"/>
  <c r="S49" i="5"/>
  <c r="S73" i="5" s="1"/>
  <c r="AA49" i="5"/>
  <c r="AA74" i="5" s="1"/>
  <c r="G52" i="5"/>
  <c r="P50" i="5"/>
  <c r="X52" i="5"/>
  <c r="G60" i="5" s="1"/>
  <c r="G69" i="5" s="1"/>
  <c r="E51" i="5"/>
  <c r="E73" i="5" s="1"/>
  <c r="N49" i="5"/>
  <c r="N74" i="5" s="1"/>
  <c r="V51" i="5"/>
  <c r="C50" i="5"/>
  <c r="D58" i="5" s="1"/>
  <c r="D67" i="5" s="1"/>
  <c r="K52" i="5"/>
  <c r="T50" i="5"/>
  <c r="T74" i="5" s="1"/>
  <c r="AB52" i="5"/>
  <c r="I51" i="5"/>
  <c r="I73" i="5" s="1"/>
  <c r="R49" i="5"/>
  <c r="R73" i="5" s="1"/>
  <c r="Z51" i="5"/>
  <c r="W50" i="5"/>
  <c r="W74" i="5" s="1"/>
  <c r="D49" i="5"/>
  <c r="D74" i="5" s="1"/>
  <c r="L51" i="5"/>
  <c r="L73" i="5" s="1"/>
  <c r="U49" i="5"/>
  <c r="U73" i="5" s="1"/>
  <c r="AC51" i="5"/>
  <c r="J50" i="5"/>
  <c r="R52" i="5"/>
  <c r="AA50" i="5"/>
  <c r="AA73" i="5" s="1"/>
  <c r="H49" i="5"/>
  <c r="H74" i="5" s="1"/>
  <c r="P51" i="5"/>
  <c r="P73" i="5" s="1"/>
  <c r="Y49" i="5"/>
  <c r="Y74" i="5" s="1"/>
  <c r="E52" i="5"/>
  <c r="N50" i="5"/>
  <c r="AD52" i="5"/>
  <c r="G33" i="5"/>
  <c r="E60" i="5"/>
  <c r="E69" i="5" s="1"/>
  <c r="G59" i="5"/>
  <c r="G68" i="5" s="1"/>
  <c r="C74" i="5"/>
  <c r="F60" i="5"/>
  <c r="F69" i="5" s="1"/>
  <c r="G57" i="5"/>
  <c r="X74" i="5"/>
  <c r="F58" i="5"/>
  <c r="F67" i="5" s="1"/>
  <c r="Q74" i="5"/>
  <c r="J73" i="5"/>
  <c r="D60" i="5"/>
  <c r="D69" i="5" s="1"/>
  <c r="J74" i="5"/>
  <c r="G58" i="5"/>
  <c r="G67" i="5" s="1"/>
  <c r="X73" i="5"/>
  <c r="F59" i="5"/>
  <c r="F68" i="5" s="1"/>
  <c r="Q73" i="5"/>
  <c r="E58" i="5"/>
  <c r="E67" i="5" s="1"/>
  <c r="C73" i="5"/>
  <c r="N85" i="8" l="1"/>
  <c r="C93" i="8" s="1"/>
  <c r="N86" i="8"/>
  <c r="C94" i="8" s="1"/>
  <c r="N87" i="8"/>
  <c r="C95" i="8" s="1"/>
  <c r="N88" i="8"/>
  <c r="C96" i="8" s="1"/>
  <c r="N84" i="8"/>
  <c r="C92" i="8" s="1"/>
  <c r="G63" i="7"/>
  <c r="G66" i="7"/>
  <c r="G62" i="7"/>
  <c r="D79" i="7"/>
  <c r="K79" i="7" s="1"/>
  <c r="E61" i="7"/>
  <c r="E70" i="7" s="1"/>
  <c r="D78" i="7"/>
  <c r="K78" i="7" s="1"/>
  <c r="D77" i="7"/>
  <c r="K77" i="7" s="1"/>
  <c r="D81" i="7"/>
  <c r="K81" i="7" s="1"/>
  <c r="D80" i="7"/>
  <c r="K80" i="7" s="1"/>
  <c r="C80" i="7"/>
  <c r="J80" i="7" s="1"/>
  <c r="C79" i="7"/>
  <c r="J79" i="7" s="1"/>
  <c r="N79" i="7" s="1"/>
  <c r="C78" i="7"/>
  <c r="J78" i="7" s="1"/>
  <c r="C77" i="7"/>
  <c r="J77" i="7" s="1"/>
  <c r="D88" i="7"/>
  <c r="K88" i="7" s="1"/>
  <c r="D87" i="7"/>
  <c r="K87" i="7" s="1"/>
  <c r="D86" i="7"/>
  <c r="K86" i="7" s="1"/>
  <c r="D85" i="7"/>
  <c r="K85" i="7" s="1"/>
  <c r="D84" i="7"/>
  <c r="K84" i="7" s="1"/>
  <c r="C87" i="7"/>
  <c r="J87" i="7" s="1"/>
  <c r="C86" i="7"/>
  <c r="J86" i="7" s="1"/>
  <c r="N86" i="7" s="1"/>
  <c r="C85" i="7"/>
  <c r="J85" i="7" s="1"/>
  <c r="C84" i="7"/>
  <c r="J84" i="7" s="1"/>
  <c r="N84" i="7" s="1"/>
  <c r="E78" i="7"/>
  <c r="L78" i="7" s="1"/>
  <c r="E77" i="7"/>
  <c r="L77" i="7" s="1"/>
  <c r="E81" i="7"/>
  <c r="L81" i="7" s="1"/>
  <c r="E80" i="7"/>
  <c r="L80" i="7" s="1"/>
  <c r="E79" i="7"/>
  <c r="L79" i="7" s="1"/>
  <c r="D63" i="7"/>
  <c r="D66" i="7"/>
  <c r="D62" i="7"/>
  <c r="F63" i="7"/>
  <c r="F66" i="7"/>
  <c r="F62" i="7"/>
  <c r="F77" i="7"/>
  <c r="M77" i="7" s="1"/>
  <c r="G61" i="7"/>
  <c r="G70" i="7" s="1"/>
  <c r="F81" i="7"/>
  <c r="M81" i="7" s="1"/>
  <c r="F80" i="7"/>
  <c r="M80" i="7" s="1"/>
  <c r="F79" i="7"/>
  <c r="M79" i="7" s="1"/>
  <c r="F78" i="7"/>
  <c r="M78" i="7" s="1"/>
  <c r="F87" i="7"/>
  <c r="M87" i="7" s="1"/>
  <c r="F86" i="7"/>
  <c r="M86" i="7" s="1"/>
  <c r="F85" i="7"/>
  <c r="M85" i="7" s="1"/>
  <c r="F84" i="7"/>
  <c r="M84" i="7" s="1"/>
  <c r="F88" i="7"/>
  <c r="M88" i="7" s="1"/>
  <c r="E63" i="7"/>
  <c r="E66" i="7"/>
  <c r="E62" i="7"/>
  <c r="E58" i="6"/>
  <c r="E67" i="6" s="1"/>
  <c r="D57" i="6"/>
  <c r="C74" i="6"/>
  <c r="F60" i="6"/>
  <c r="F69" i="6" s="1"/>
  <c r="G57" i="6"/>
  <c r="X74" i="6"/>
  <c r="E59" i="6"/>
  <c r="E68" i="6" s="1"/>
  <c r="J73" i="6"/>
  <c r="Q74" i="6"/>
  <c r="F58" i="6"/>
  <c r="F67" i="6" s="1"/>
  <c r="D60" i="6"/>
  <c r="D69" i="6" s="1"/>
  <c r="J74" i="6"/>
  <c r="E57" i="6"/>
  <c r="G60" i="6"/>
  <c r="G69" i="6" s="1"/>
  <c r="D58" i="6"/>
  <c r="D67" i="6" s="1"/>
  <c r="G58" i="6"/>
  <c r="G67" i="6" s="1"/>
  <c r="X73" i="6"/>
  <c r="F59" i="6"/>
  <c r="F68" i="6" s="1"/>
  <c r="F57" i="6"/>
  <c r="Q73" i="6"/>
  <c r="C73" i="6"/>
  <c r="D59" i="6"/>
  <c r="D68" i="6" s="1"/>
  <c r="G59" i="6"/>
  <c r="G68" i="6" s="1"/>
  <c r="D59" i="5"/>
  <c r="D68" i="5" s="1"/>
  <c r="E57" i="5"/>
  <c r="E62" i="5" s="1"/>
  <c r="F57" i="5"/>
  <c r="E59" i="5"/>
  <c r="E68" i="5" s="1"/>
  <c r="D57" i="5"/>
  <c r="C87" i="5"/>
  <c r="J87" i="5" s="1"/>
  <c r="C86" i="5"/>
  <c r="J86" i="5" s="1"/>
  <c r="C85" i="5"/>
  <c r="J85" i="5" s="1"/>
  <c r="C84" i="5"/>
  <c r="J84" i="5" s="1"/>
  <c r="E80" i="5"/>
  <c r="L80" i="5" s="1"/>
  <c r="E79" i="5"/>
  <c r="L79" i="5" s="1"/>
  <c r="E78" i="5"/>
  <c r="L78" i="5" s="1"/>
  <c r="E77" i="5"/>
  <c r="L77" i="5" s="1"/>
  <c r="D80" i="5"/>
  <c r="K80" i="5" s="1"/>
  <c r="D79" i="5"/>
  <c r="K79" i="5" s="1"/>
  <c r="D78" i="5"/>
  <c r="K78" i="5" s="1"/>
  <c r="D77" i="5"/>
  <c r="K77" i="5" s="1"/>
  <c r="E85" i="5"/>
  <c r="L85" i="5" s="1"/>
  <c r="E84" i="5"/>
  <c r="L84" i="5" s="1"/>
  <c r="E87" i="5"/>
  <c r="L87" i="5" s="1"/>
  <c r="E86" i="5"/>
  <c r="L86" i="5" s="1"/>
  <c r="F84" i="5"/>
  <c r="M84" i="5" s="1"/>
  <c r="F87" i="5"/>
  <c r="M87" i="5" s="1"/>
  <c r="F86" i="5"/>
  <c r="M86" i="5" s="1"/>
  <c r="F85" i="5"/>
  <c r="M85" i="5" s="1"/>
  <c r="C80" i="5"/>
  <c r="J80" i="5" s="1"/>
  <c r="C79" i="5"/>
  <c r="J79" i="5" s="1"/>
  <c r="C78" i="5"/>
  <c r="J78" i="5" s="1"/>
  <c r="C77" i="5"/>
  <c r="J77" i="5" s="1"/>
  <c r="F80" i="5"/>
  <c r="M80" i="5" s="1"/>
  <c r="F79" i="5"/>
  <c r="M79" i="5" s="1"/>
  <c r="F78" i="5"/>
  <c r="M78" i="5" s="1"/>
  <c r="F77" i="5"/>
  <c r="M77" i="5" s="1"/>
  <c r="E63" i="5"/>
  <c r="E66" i="5"/>
  <c r="G63" i="5"/>
  <c r="G66" i="5"/>
  <c r="G62" i="5"/>
  <c r="D63" i="5"/>
  <c r="D66" i="5"/>
  <c r="D62" i="5"/>
  <c r="D86" i="5"/>
  <c r="K86" i="5" s="1"/>
  <c r="D85" i="5"/>
  <c r="K85" i="5" s="1"/>
  <c r="D84" i="5"/>
  <c r="K84" i="5" s="1"/>
  <c r="D87" i="5"/>
  <c r="K87" i="5" s="1"/>
  <c r="F63" i="5"/>
  <c r="F66" i="5"/>
  <c r="F62" i="5"/>
  <c r="D92" i="8" l="1"/>
  <c r="D95" i="8"/>
  <c r="D94" i="8"/>
  <c r="D96" i="8"/>
  <c r="D93" i="8"/>
  <c r="N85" i="7"/>
  <c r="C94" i="7"/>
  <c r="N87" i="7"/>
  <c r="C95" i="7" s="1"/>
  <c r="C81" i="7"/>
  <c r="J81" i="7" s="1"/>
  <c r="N81" i="7" s="1"/>
  <c r="C88" i="7"/>
  <c r="J88" i="7" s="1"/>
  <c r="N77" i="7"/>
  <c r="C92" i="7"/>
  <c r="F61" i="7"/>
  <c r="F70" i="7" s="1"/>
  <c r="E88" i="7"/>
  <c r="L88" i="7" s="1"/>
  <c r="N78" i="7"/>
  <c r="N80" i="7"/>
  <c r="D63" i="6"/>
  <c r="D66" i="6"/>
  <c r="D62" i="6"/>
  <c r="F77" i="6"/>
  <c r="M77" i="6" s="1"/>
  <c r="G61" i="6"/>
  <c r="G70" i="6" s="1"/>
  <c r="F81" i="6"/>
  <c r="M81" i="6" s="1"/>
  <c r="F80" i="6"/>
  <c r="M80" i="6" s="1"/>
  <c r="F79" i="6"/>
  <c r="M79" i="6" s="1"/>
  <c r="F78" i="6"/>
  <c r="M78" i="6" s="1"/>
  <c r="D79" i="6"/>
  <c r="K79" i="6" s="1"/>
  <c r="E61" i="6"/>
  <c r="E70" i="6" s="1"/>
  <c r="D78" i="6"/>
  <c r="K78" i="6" s="1"/>
  <c r="D77" i="6"/>
  <c r="K77" i="6" s="1"/>
  <c r="D81" i="6"/>
  <c r="K81" i="6" s="1"/>
  <c r="D80" i="6"/>
  <c r="K80" i="6" s="1"/>
  <c r="C80" i="6"/>
  <c r="J80" i="6" s="1"/>
  <c r="C79" i="6"/>
  <c r="J79" i="6" s="1"/>
  <c r="C78" i="6"/>
  <c r="J78" i="6" s="1"/>
  <c r="C77" i="6"/>
  <c r="J77" i="6" s="1"/>
  <c r="D61" i="6"/>
  <c r="D70" i="6" s="1"/>
  <c r="G63" i="6"/>
  <c r="G66" i="6"/>
  <c r="G62" i="6"/>
  <c r="E78" i="6"/>
  <c r="L78" i="6" s="1"/>
  <c r="E77" i="6"/>
  <c r="L77" i="6" s="1"/>
  <c r="F61" i="6"/>
  <c r="F70" i="6" s="1"/>
  <c r="E80" i="6"/>
  <c r="L80" i="6" s="1"/>
  <c r="E79" i="6"/>
  <c r="L79" i="6" s="1"/>
  <c r="D88" i="6"/>
  <c r="K88" i="6" s="1"/>
  <c r="D87" i="6"/>
  <c r="K87" i="6" s="1"/>
  <c r="D86" i="6"/>
  <c r="K86" i="6" s="1"/>
  <c r="D85" i="6"/>
  <c r="K85" i="6" s="1"/>
  <c r="D84" i="6"/>
  <c r="K84" i="6" s="1"/>
  <c r="F87" i="6"/>
  <c r="M87" i="6" s="1"/>
  <c r="F86" i="6"/>
  <c r="M86" i="6" s="1"/>
  <c r="F85" i="6"/>
  <c r="M85" i="6" s="1"/>
  <c r="F84" i="6"/>
  <c r="M84" i="6" s="1"/>
  <c r="F88" i="6"/>
  <c r="M88" i="6" s="1"/>
  <c r="E63" i="6"/>
  <c r="E66" i="6"/>
  <c r="E62" i="6"/>
  <c r="F63" i="6"/>
  <c r="F66" i="6"/>
  <c r="F62" i="6"/>
  <c r="C88" i="6"/>
  <c r="J88" i="6" s="1"/>
  <c r="N88" i="6" s="1"/>
  <c r="C87" i="6"/>
  <c r="J87" i="6" s="1"/>
  <c r="C86" i="6"/>
  <c r="J86" i="6" s="1"/>
  <c r="N86" i="6" s="1"/>
  <c r="C85" i="6"/>
  <c r="J85" i="6" s="1"/>
  <c r="C84" i="6"/>
  <c r="J84" i="6" s="1"/>
  <c r="E88" i="6"/>
  <c r="L88" i="6" s="1"/>
  <c r="E87" i="6"/>
  <c r="L87" i="6" s="1"/>
  <c r="E86" i="6"/>
  <c r="L86" i="6" s="1"/>
  <c r="E85" i="6"/>
  <c r="L85" i="6" s="1"/>
  <c r="E84" i="6"/>
  <c r="L84" i="6" s="1"/>
  <c r="N77" i="5"/>
  <c r="N78" i="5"/>
  <c r="N79" i="5"/>
  <c r="N80" i="5"/>
  <c r="N84" i="5"/>
  <c r="N85" i="5"/>
  <c r="N86" i="5"/>
  <c r="N87" i="5"/>
  <c r="C93" i="7" l="1"/>
  <c r="N88" i="7"/>
  <c r="C96" i="7" s="1"/>
  <c r="N87" i="6"/>
  <c r="N80" i="6"/>
  <c r="E81" i="6"/>
  <c r="L81" i="6" s="1"/>
  <c r="C81" i="6"/>
  <c r="J81" i="6" s="1"/>
  <c r="N84" i="6"/>
  <c r="N77" i="6"/>
  <c r="N85" i="6"/>
  <c r="C93" i="6" s="1"/>
  <c r="N78" i="6"/>
  <c r="C94" i="6"/>
  <c r="N79" i="6"/>
  <c r="C93" i="5"/>
  <c r="C92" i="5"/>
  <c r="C95" i="5"/>
  <c r="C94" i="5"/>
  <c r="D93" i="7" l="1"/>
  <c r="D95" i="7"/>
  <c r="D96" i="7"/>
  <c r="D94" i="7"/>
  <c r="D92" i="7"/>
  <c r="N81" i="6"/>
  <c r="C96" i="6" s="1"/>
  <c r="D96" i="6" s="1"/>
  <c r="C92" i="6"/>
  <c r="C95" i="6"/>
  <c r="D93" i="6" l="1"/>
  <c r="D95" i="6"/>
  <c r="D92" i="6"/>
  <c r="D94" i="6"/>
  <c r="D88" i="4" l="1"/>
  <c r="D89" i="4"/>
  <c r="D90" i="4"/>
  <c r="D87" i="4"/>
  <c r="C81" i="4"/>
  <c r="D81" i="4"/>
  <c r="K81" i="4" s="1"/>
  <c r="E81" i="4"/>
  <c r="L81" i="4" s="1"/>
  <c r="F81" i="4"/>
  <c r="C82" i="4"/>
  <c r="D82" i="4"/>
  <c r="K82" i="4" s="1"/>
  <c r="E82" i="4"/>
  <c r="L82" i="4" s="1"/>
  <c r="F82" i="4"/>
  <c r="C83" i="4"/>
  <c r="D83" i="4"/>
  <c r="K83" i="4" s="1"/>
  <c r="E83" i="4"/>
  <c r="L83" i="4" s="1"/>
  <c r="F83" i="4"/>
  <c r="F80" i="4"/>
  <c r="M80" i="4" s="1"/>
  <c r="E80" i="4"/>
  <c r="L80" i="4" s="1"/>
  <c r="D80" i="4"/>
  <c r="K80" i="4" s="1"/>
  <c r="J81" i="4"/>
  <c r="J82" i="4"/>
  <c r="J83" i="4"/>
  <c r="C80" i="4"/>
  <c r="J80" i="4" s="1"/>
  <c r="M83" i="4"/>
  <c r="M82" i="4"/>
  <c r="M81" i="4"/>
  <c r="N75" i="4"/>
  <c r="N76" i="4"/>
  <c r="N77" i="4"/>
  <c r="N74" i="4"/>
  <c r="J75" i="4"/>
  <c r="K75" i="4"/>
  <c r="L75" i="4"/>
  <c r="M75" i="4"/>
  <c r="J76" i="4"/>
  <c r="K76" i="4"/>
  <c r="L76" i="4"/>
  <c r="M76" i="4"/>
  <c r="J77" i="4"/>
  <c r="K77" i="4"/>
  <c r="L77" i="4"/>
  <c r="M77" i="4"/>
  <c r="K74" i="4"/>
  <c r="L74" i="4"/>
  <c r="M74" i="4"/>
  <c r="J74" i="4"/>
  <c r="D75" i="4"/>
  <c r="E75" i="4"/>
  <c r="F75" i="4"/>
  <c r="D76" i="4"/>
  <c r="E76" i="4"/>
  <c r="F76" i="4"/>
  <c r="D77" i="4"/>
  <c r="E77" i="4"/>
  <c r="F77" i="4"/>
  <c r="F74" i="4"/>
  <c r="E74" i="4"/>
  <c r="D74" i="4"/>
  <c r="C77" i="4"/>
  <c r="C75" i="4"/>
  <c r="C76" i="4"/>
  <c r="C74" i="4"/>
  <c r="R70" i="4"/>
  <c r="S70" i="4"/>
  <c r="T70" i="4"/>
  <c r="U70" i="4"/>
  <c r="V70" i="4"/>
  <c r="W70" i="4"/>
  <c r="R71" i="4"/>
  <c r="S71" i="4"/>
  <c r="T71" i="4"/>
  <c r="U71" i="4"/>
  <c r="V71" i="4"/>
  <c r="W71" i="4"/>
  <c r="Q71" i="4"/>
  <c r="Q70" i="4"/>
  <c r="Y71" i="4"/>
  <c r="Z71" i="4"/>
  <c r="AA71" i="4"/>
  <c r="AB71" i="4"/>
  <c r="AC71" i="4"/>
  <c r="AD71" i="4"/>
  <c r="X71" i="4"/>
  <c r="K71" i="4"/>
  <c r="L71" i="4"/>
  <c r="M71" i="4"/>
  <c r="N71" i="4"/>
  <c r="O71" i="4"/>
  <c r="P71" i="4"/>
  <c r="J71" i="4"/>
  <c r="Y70" i="4"/>
  <c r="Z70" i="4"/>
  <c r="AA70" i="4"/>
  <c r="AB70" i="4"/>
  <c r="AC70" i="4"/>
  <c r="AD70" i="4"/>
  <c r="X70" i="4"/>
  <c r="K70" i="4"/>
  <c r="L70" i="4"/>
  <c r="M70" i="4"/>
  <c r="N70" i="4"/>
  <c r="O70" i="4"/>
  <c r="P70" i="4"/>
  <c r="J70" i="4"/>
  <c r="D71" i="4"/>
  <c r="E71" i="4"/>
  <c r="F71" i="4"/>
  <c r="G71" i="4"/>
  <c r="H71" i="4"/>
  <c r="I71" i="4"/>
  <c r="N82" i="4" l="1"/>
  <c r="N81" i="4"/>
  <c r="N83" i="4"/>
  <c r="N80" i="4"/>
  <c r="D31" i="4"/>
  <c r="F23" i="4"/>
  <c r="L17" i="4" s="1"/>
  <c r="F26" i="4"/>
  <c r="L20" i="4" s="1"/>
  <c r="F24" i="4"/>
  <c r="L18" i="4" s="1"/>
  <c r="F25" i="4"/>
  <c r="L19" i="4" s="1"/>
  <c r="E24" i="4"/>
  <c r="K18" i="4" s="1"/>
  <c r="E25" i="4"/>
  <c r="K19" i="4" s="1"/>
  <c r="E26" i="4"/>
  <c r="E23" i="4"/>
  <c r="K17" i="4" s="1"/>
  <c r="D24" i="4"/>
  <c r="J18" i="4" s="1"/>
  <c r="D25" i="4"/>
  <c r="J19" i="4" s="1"/>
  <c r="D26" i="4"/>
  <c r="D23" i="4"/>
  <c r="J17" i="4" s="1"/>
  <c r="I18" i="4"/>
  <c r="I19" i="4"/>
  <c r="J20" i="4"/>
  <c r="K20" i="4"/>
  <c r="C24" i="4"/>
  <c r="C25" i="4"/>
  <c r="C26" i="4"/>
  <c r="I20" i="4" s="1"/>
  <c r="C23" i="4"/>
  <c r="I17" i="4" s="1"/>
  <c r="D30" i="4" s="1"/>
  <c r="L26" i="4"/>
  <c r="L24" i="4"/>
  <c r="L25" i="4"/>
  <c r="L23" i="4"/>
  <c r="K26" i="4"/>
  <c r="K24" i="4"/>
  <c r="K25" i="4"/>
  <c r="K23" i="4"/>
  <c r="J24" i="4"/>
  <c r="J25" i="4"/>
  <c r="J26" i="4"/>
  <c r="J23" i="4"/>
  <c r="I24" i="4"/>
  <c r="I25" i="4"/>
  <c r="I26" i="4"/>
  <c r="I23" i="4"/>
  <c r="F18" i="4"/>
  <c r="F19" i="4"/>
  <c r="F20" i="4"/>
  <c r="F17" i="4"/>
  <c r="E18" i="4"/>
  <c r="E19" i="4"/>
  <c r="E20" i="4"/>
  <c r="E17" i="4"/>
  <c r="D18" i="4"/>
  <c r="D19" i="4"/>
  <c r="D20" i="4"/>
  <c r="D17" i="4"/>
  <c r="C18" i="4"/>
  <c r="C31" i="4" s="1"/>
  <c r="C19" i="4"/>
  <c r="C20" i="4"/>
  <c r="C33" i="4" s="1"/>
  <c r="C17" i="4"/>
  <c r="C30" i="4" s="1"/>
  <c r="H17" i="1"/>
  <c r="H18" i="1"/>
  <c r="H19" i="1"/>
  <c r="H16" i="1"/>
  <c r="G18" i="1"/>
  <c r="E30" i="4" l="1"/>
  <c r="F30" i="4"/>
  <c r="G30" i="4"/>
  <c r="D33" i="4"/>
  <c r="E31" i="4"/>
  <c r="F31" i="4" s="1"/>
  <c r="G31" i="4"/>
  <c r="D32" i="4"/>
  <c r="C32" i="4"/>
  <c r="E32" i="4" s="1"/>
  <c r="G32" i="4" s="1"/>
  <c r="G16" i="1"/>
  <c r="G19" i="1"/>
  <c r="G17" i="1"/>
  <c r="G49" i="4" l="1"/>
  <c r="E49" i="4"/>
  <c r="N49" i="4"/>
  <c r="V49" i="4"/>
  <c r="AD49" i="4"/>
  <c r="K50" i="4"/>
  <c r="S50" i="4"/>
  <c r="AB50" i="4"/>
  <c r="I51" i="4"/>
  <c r="I70" i="4" s="1"/>
  <c r="Q51" i="4"/>
  <c r="Y51" i="4"/>
  <c r="G52" i="4"/>
  <c r="O52" i="4"/>
  <c r="W52" i="4"/>
  <c r="C52" i="4"/>
  <c r="O49" i="4"/>
  <c r="W49" i="4"/>
  <c r="L50" i="4"/>
  <c r="AC50" i="4"/>
  <c r="R51" i="4"/>
  <c r="H52" i="4"/>
  <c r="P52" i="4"/>
  <c r="C50" i="4"/>
  <c r="U50" i="4"/>
  <c r="Q52" i="4"/>
  <c r="H49" i="4"/>
  <c r="P49" i="4"/>
  <c r="X49" i="4"/>
  <c r="E50" i="4"/>
  <c r="M50" i="4"/>
  <c r="AD50" i="4"/>
  <c r="K51" i="4"/>
  <c r="S51" i="4"/>
  <c r="AA51" i="4"/>
  <c r="Y52" i="4"/>
  <c r="I49" i="4"/>
  <c r="Q49" i="4"/>
  <c r="Y49" i="4"/>
  <c r="F50" i="4"/>
  <c r="N50" i="4"/>
  <c r="W50" i="4"/>
  <c r="D51" i="4"/>
  <c r="D70" i="4" s="1"/>
  <c r="L51" i="4"/>
  <c r="T51" i="4"/>
  <c r="AB51" i="4"/>
  <c r="J52" i="4"/>
  <c r="R52" i="4"/>
  <c r="Z52" i="4"/>
  <c r="C49" i="4"/>
  <c r="AB52" i="4"/>
  <c r="C51" i="4"/>
  <c r="J49" i="4"/>
  <c r="R49" i="4"/>
  <c r="Z49" i="4"/>
  <c r="G50" i="4"/>
  <c r="O50" i="4"/>
  <c r="X50" i="4"/>
  <c r="E51" i="4"/>
  <c r="E70" i="4" s="1"/>
  <c r="M51" i="4"/>
  <c r="U51" i="4"/>
  <c r="AC51" i="4"/>
  <c r="K52" i="4"/>
  <c r="S52" i="4"/>
  <c r="AA52" i="4"/>
  <c r="S49" i="4"/>
  <c r="P50" i="4"/>
  <c r="F51" i="4"/>
  <c r="F70" i="4" s="1"/>
  <c r="V51" i="4"/>
  <c r="L52" i="4"/>
  <c r="V50" i="4"/>
  <c r="K49" i="4"/>
  <c r="AA49" i="4"/>
  <c r="H50" i="4"/>
  <c r="Y50" i="4"/>
  <c r="N51" i="4"/>
  <c r="D52" i="4"/>
  <c r="T52" i="4"/>
  <c r="AD51" i="4"/>
  <c r="L49" i="4"/>
  <c r="T49" i="4"/>
  <c r="AB49" i="4"/>
  <c r="I50" i="4"/>
  <c r="Q50" i="4"/>
  <c r="F57" i="4" s="1"/>
  <c r="F65" i="4" s="1"/>
  <c r="Z50" i="4"/>
  <c r="G51" i="4"/>
  <c r="G70" i="4" s="1"/>
  <c r="O51" i="4"/>
  <c r="W51" i="4"/>
  <c r="E52" i="4"/>
  <c r="M52" i="4"/>
  <c r="U52" i="4"/>
  <c r="AC52" i="4"/>
  <c r="D49" i="4"/>
  <c r="M49" i="4"/>
  <c r="U49" i="4"/>
  <c r="AC49" i="4"/>
  <c r="J50" i="4"/>
  <c r="R50" i="4"/>
  <c r="AA50" i="4"/>
  <c r="H51" i="4"/>
  <c r="H70" i="4" s="1"/>
  <c r="P51" i="4"/>
  <c r="X51" i="4"/>
  <c r="F52" i="4"/>
  <c r="N52" i="4"/>
  <c r="V52" i="4"/>
  <c r="AD52" i="4"/>
  <c r="F49" i="4"/>
  <c r="D50" i="4"/>
  <c r="T50" i="4"/>
  <c r="J51" i="4"/>
  <c r="Z51" i="4"/>
  <c r="X52" i="4"/>
  <c r="G59" i="4" s="1"/>
  <c r="G67" i="4" s="1"/>
  <c r="I52" i="4"/>
  <c r="E33" i="4"/>
  <c r="F33" i="4" s="1"/>
  <c r="F32" i="4"/>
  <c r="C71" i="4" l="1"/>
  <c r="D56" i="4"/>
  <c r="F59" i="4"/>
  <c r="F67" i="4" s="1"/>
  <c r="E57" i="4"/>
  <c r="E65" i="4" s="1"/>
  <c r="D57" i="4"/>
  <c r="D65" i="4" s="1"/>
  <c r="D59" i="4"/>
  <c r="D67" i="4" s="1"/>
  <c r="E59" i="4"/>
  <c r="E67" i="4" s="1"/>
  <c r="E58" i="4"/>
  <c r="E66" i="4" s="1"/>
  <c r="F56" i="4"/>
  <c r="G58" i="4"/>
  <c r="G66" i="4" s="1"/>
  <c r="E56" i="4"/>
  <c r="G56" i="4"/>
  <c r="C70" i="4"/>
  <c r="D58" i="4"/>
  <c r="D66" i="4" s="1"/>
  <c r="F58" i="4"/>
  <c r="F66" i="4" s="1"/>
  <c r="G33" i="4"/>
  <c r="G57" i="4"/>
  <c r="G65" i="4" s="1"/>
  <c r="D64" i="4" l="1"/>
  <c r="D61" i="4"/>
  <c r="D60" i="4"/>
  <c r="G64" i="4"/>
  <c r="G61" i="4"/>
  <c r="G60" i="4"/>
  <c r="E64" i="4"/>
  <c r="E61" i="4"/>
  <c r="E60" i="4"/>
  <c r="F64" i="4"/>
  <c r="F61" i="4"/>
  <c r="F60" i="4"/>
</calcChain>
</file>

<file path=xl/sharedStrings.xml><?xml version="1.0" encoding="utf-8"?>
<sst xmlns="http://schemas.openxmlformats.org/spreadsheetml/2006/main" count="1106" uniqueCount="99">
  <si>
    <t>DM1</t>
  </si>
  <si>
    <t>A1</t>
  </si>
  <si>
    <t>A2</t>
  </si>
  <si>
    <t>A3</t>
  </si>
  <si>
    <t>A4</t>
  </si>
  <si>
    <t>C1</t>
  </si>
  <si>
    <t>C2</t>
  </si>
  <si>
    <t>C3</t>
  </si>
  <si>
    <t>C4</t>
  </si>
  <si>
    <t>DM2</t>
  </si>
  <si>
    <r>
      <t>[s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</si>
  <si>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</si>
  <si>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</si>
  <si>
    <t/>
  </si>
  <si>
    <t>MIN</t>
  </si>
  <si>
    <t>MAX</t>
  </si>
  <si>
    <t>IR</t>
  </si>
  <si>
    <t>PR</t>
  </si>
  <si>
    <t>PI</t>
  </si>
  <si>
    <t>I</t>
  </si>
  <si>
    <t>MI</t>
  </si>
  <si>
    <t>QI</t>
  </si>
  <si>
    <t>IM</t>
  </si>
  <si>
    <t>Entre I e MI</t>
  </si>
  <si>
    <t>Entre MI e QI</t>
  </si>
  <si>
    <t>Entre QI e IM</t>
  </si>
  <si>
    <t>Entre PI e I</t>
  </si>
  <si>
    <r>
      <t>[s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</si>
  <si>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</si>
  <si>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]</t>
    </r>
  </si>
  <si>
    <r>
      <t>[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</si>
  <si>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</si>
  <si>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Pesos Critérios</t>
  </si>
  <si>
    <t>Fuzzy triangular</t>
  </si>
  <si>
    <t>l</t>
  </si>
  <si>
    <t>m</t>
  </si>
  <si>
    <t>u</t>
  </si>
  <si>
    <t>Defuzzificar</t>
  </si>
  <si>
    <t>Pesos normalizados</t>
  </si>
  <si>
    <t>Neg C2</t>
  </si>
  <si>
    <t>Neg C3</t>
  </si>
  <si>
    <r>
      <t>[s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</si>
  <si>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</si>
  <si>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</si>
  <si>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</si>
  <si>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]</t>
    </r>
  </si>
  <si>
    <r>
      <t>[s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</si>
  <si>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Dist. Geod.</t>
  </si>
  <si>
    <t>d1,d11</t>
  </si>
  <si>
    <t>d2,d11</t>
  </si>
  <si>
    <t>d3,d11</t>
  </si>
  <si>
    <t>d4,d11</t>
  </si>
  <si>
    <t>d1,d21</t>
  </si>
  <si>
    <t>d2,d21</t>
  </si>
  <si>
    <t>d3,d21</t>
  </si>
  <si>
    <t>d4,d21</t>
  </si>
  <si>
    <t>d1,d12</t>
  </si>
  <si>
    <t>d2,d12</t>
  </si>
  <si>
    <t>d3,d12</t>
  </si>
  <si>
    <t>d4,d12</t>
  </si>
  <si>
    <t>d1,d22</t>
  </si>
  <si>
    <t>d2,d22</t>
  </si>
  <si>
    <t>d3,d22</t>
  </si>
  <si>
    <t>d4,d22</t>
  </si>
  <si>
    <t>Grau de Consenso</t>
  </si>
  <si>
    <t>D1</t>
  </si>
  <si>
    <t>D2</t>
  </si>
  <si>
    <t>Soma</t>
  </si>
  <si>
    <t>λ1</t>
  </si>
  <si>
    <t>λ2</t>
  </si>
  <si>
    <t>PD1</t>
  </si>
  <si>
    <t>PD2</t>
  </si>
  <si>
    <t>Média E</t>
  </si>
  <si>
    <t>Variância</t>
  </si>
  <si>
    <t>Pesos nivelados</t>
  </si>
  <si>
    <t>Pesos</t>
  </si>
  <si>
    <t>Índices</t>
  </si>
  <si>
    <t>s0</t>
  </si>
  <si>
    <t>s1</t>
  </si>
  <si>
    <t>s2</t>
  </si>
  <si>
    <t>s3</t>
  </si>
  <si>
    <t>s4</t>
  </si>
  <si>
    <t>s5</t>
  </si>
  <si>
    <t>s6</t>
  </si>
  <si>
    <t>g</t>
  </si>
  <si>
    <t>Soluções ideais</t>
  </si>
  <si>
    <t>SIP</t>
  </si>
  <si>
    <t>SIN</t>
  </si>
  <si>
    <t>D+</t>
  </si>
  <si>
    <t>d+</t>
  </si>
  <si>
    <t>D+^2</t>
  </si>
  <si>
    <t>D-</t>
  </si>
  <si>
    <t>D-^2</t>
  </si>
  <si>
    <t>Rci</t>
  </si>
  <si>
    <t>D-/(D++D-)</t>
  </si>
  <si>
    <t>Ranking</t>
  </si>
  <si>
    <t>A+</t>
  </si>
  <si>
    <t>A-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</si>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</sst>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5" xfId="0" applyBorder="1"/>
    <xf numFmtId="0" fontId="0" fillId="0" borderId="7" xfId="0" applyBorder="1"/>
    <xf numFmtId="0" fontId="0" fillId="3" borderId="1" xfId="0" applyFill="1" applyBorder="1"/>
    <xf numFmtId="0" fontId="0" fillId="3" borderId="6" xfId="0" applyFill="1" applyBorder="1"/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0" fontId="0" fillId="0" borderId="0" xfId="0" applyFill="1" applyBorder="1" applyAlignment="1">
      <alignment horizontal="right"/>
    </xf>
    <xf numFmtId="0" fontId="0" fillId="0" borderId="0" xfId="0" applyFill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165" fontId="0" fillId="0" borderId="1" xfId="0" applyNumberFormat="1" applyFont="1" applyFill="1" applyBorder="1"/>
    <xf numFmtId="0" fontId="0" fillId="0" borderId="2" xfId="0" applyBorder="1"/>
    <xf numFmtId="0" fontId="0" fillId="0" borderId="3" xfId="0" applyFill="1" applyBorder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/>
    <xf numFmtId="0" fontId="0" fillId="0" borderId="4" xfId="0" applyFont="1" applyFill="1" applyBorder="1"/>
    <xf numFmtId="0" fontId="2" fillId="0" borderId="6" xfId="0" applyFont="1" applyFill="1" applyBorder="1" applyAlignment="1">
      <alignment horizontal="left"/>
    </xf>
    <xf numFmtId="164" fontId="0" fillId="0" borderId="6" xfId="0" applyNumberFormat="1" applyFont="1" applyFill="1" applyBorder="1"/>
    <xf numFmtId="0" fontId="0" fillId="0" borderId="8" xfId="0" applyBorder="1"/>
    <xf numFmtId="0" fontId="0" fillId="0" borderId="8" xfId="0" applyFont="1" applyFill="1" applyBorder="1" applyAlignment="1">
      <alignment horizontal="center"/>
    </xf>
    <xf numFmtId="165" fontId="0" fillId="0" borderId="8" xfId="0" applyNumberFormat="1" applyFont="1" applyFill="1" applyBorder="1"/>
    <xf numFmtId="164" fontId="0" fillId="0" borderId="9" xfId="0" applyNumberFormat="1" applyFont="1" applyFill="1" applyBorder="1"/>
    <xf numFmtId="0" fontId="0" fillId="0" borderId="2" xfId="0" applyFill="1" applyBorder="1" applyAlignment="1">
      <alignment vertic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>
      <alignment vertical="center"/>
    </xf>
    <xf numFmtId="0" fontId="0" fillId="0" borderId="5" xfId="0" applyFill="1" applyBorder="1"/>
    <xf numFmtId="0" fontId="0" fillId="0" borderId="7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2" fillId="0" borderId="0" xfId="0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6" fontId="0" fillId="0" borderId="5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right"/>
    </xf>
    <xf numFmtId="165" fontId="0" fillId="0" borderId="0" xfId="0" applyNumberFormat="1" applyFill="1"/>
    <xf numFmtId="165" fontId="0" fillId="0" borderId="0" xfId="0" applyNumberFormat="1" applyFill="1" applyAlignment="1">
      <alignment horizontal="right"/>
    </xf>
    <xf numFmtId="165" fontId="2" fillId="0" borderId="0" xfId="0" applyNumberFormat="1" applyFont="1" applyFill="1" applyAlignment="1">
      <alignment horizontal="right"/>
    </xf>
    <xf numFmtId="165" fontId="0" fillId="0" borderId="5" xfId="0" applyNumberForma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2" fontId="0" fillId="0" borderId="5" xfId="0" applyNumberForma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" xfId="0" applyFont="1" applyBorder="1"/>
    <xf numFmtId="0" fontId="2" fillId="0" borderId="13" xfId="0" applyFont="1" applyBorder="1"/>
    <xf numFmtId="0" fontId="2" fillId="0" borderId="15" xfId="0" applyFont="1" applyBorder="1"/>
    <xf numFmtId="165" fontId="2" fillId="0" borderId="16" xfId="0" applyNumberFormat="1" applyFont="1" applyFill="1" applyBorder="1" applyAlignment="1">
      <alignment horizontal="center"/>
    </xf>
    <xf numFmtId="165" fontId="2" fillId="0" borderId="17" xfId="0" applyNumberFormat="1" applyFont="1" applyFill="1" applyBorder="1" applyAlignment="1">
      <alignment horizontal="center"/>
    </xf>
    <xf numFmtId="165" fontId="0" fillId="0" borderId="2" xfId="0" applyNumberFormat="1" applyBorder="1"/>
    <xf numFmtId="165" fontId="0" fillId="0" borderId="7" xfId="0" applyNumberFormat="1" applyBorder="1"/>
    <xf numFmtId="0" fontId="2" fillId="0" borderId="2" xfId="0" applyFont="1" applyFill="1" applyBorder="1"/>
    <xf numFmtId="0" fontId="2" fillId="0" borderId="13" xfId="0" applyFont="1" applyFill="1" applyBorder="1"/>
    <xf numFmtId="0" fontId="2" fillId="0" borderId="15" xfId="0" applyFont="1" applyFill="1" applyBorder="1"/>
    <xf numFmtId="0" fontId="0" fillId="0" borderId="16" xfId="0" applyBorder="1"/>
    <xf numFmtId="0" fontId="0" fillId="0" borderId="17" xfId="0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5" fontId="0" fillId="0" borderId="3" xfId="0" applyNumberFormat="1" applyBorder="1"/>
    <xf numFmtId="165" fontId="0" fillId="0" borderId="4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2" fillId="0" borderId="23" xfId="0" applyFont="1" applyFill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2" fillId="4" borderId="1" xfId="0" applyFont="1" applyFill="1" applyBorder="1"/>
    <xf numFmtId="0" fontId="2" fillId="4" borderId="13" xfId="0" applyFont="1" applyFill="1" applyBorder="1"/>
    <xf numFmtId="165" fontId="0" fillId="4" borderId="2" xfId="0" applyNumberFormat="1" applyFill="1" applyBorder="1"/>
    <xf numFmtId="165" fontId="2" fillId="0" borderId="16" xfId="0" applyNumberFormat="1" applyFont="1" applyFill="1" applyBorder="1" applyAlignment="1">
      <alignment horizontal="center"/>
    </xf>
    <xf numFmtId="165" fontId="2" fillId="0" borderId="17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5" fontId="2" fillId="0" borderId="26" xfId="0" applyNumberFormat="1" applyFon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165" fontId="0" fillId="0" borderId="4" xfId="0" applyNumberFormat="1" applyFill="1" applyBorder="1" applyAlignment="1">
      <alignment horizontal="center"/>
    </xf>
    <xf numFmtId="165" fontId="0" fillId="0" borderId="6" xfId="0" applyNumberFormat="1" applyFill="1" applyBorder="1" applyAlignment="1">
      <alignment horizontal="center"/>
    </xf>
    <xf numFmtId="165" fontId="0" fillId="0" borderId="7" xfId="0" applyNumberFormat="1" applyFill="1" applyBorder="1" applyAlignment="1">
      <alignment horizontal="center"/>
    </xf>
    <xf numFmtId="165" fontId="0" fillId="0" borderId="8" xfId="0" applyNumberFormat="1" applyFill="1" applyBorder="1" applyAlignment="1">
      <alignment horizontal="center"/>
    </xf>
    <xf numFmtId="165" fontId="0" fillId="0" borderId="9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165" fontId="2" fillId="4" borderId="27" xfId="0" applyNumberFormat="1" applyFont="1" applyFill="1" applyBorder="1" applyAlignment="1">
      <alignment horizontal="right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2" fillId="4" borderId="27" xfId="0" applyFont="1" applyFill="1" applyBorder="1"/>
    <xf numFmtId="165" fontId="0" fillId="4" borderId="7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165" fontId="2" fillId="0" borderId="10" xfId="0" applyNumberFormat="1" applyFont="1" applyFill="1" applyBorder="1" applyAlignment="1">
      <alignment horizontal="center"/>
    </xf>
    <xf numFmtId="165" fontId="2" fillId="0" borderId="11" xfId="0" applyNumberFormat="1" applyFont="1" applyFill="1" applyBorder="1" applyAlignment="1">
      <alignment horizontal="center"/>
    </xf>
    <xf numFmtId="165" fontId="2" fillId="0" borderId="1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2" fillId="0" borderId="16" xfId="0" applyNumberFormat="1" applyFont="1" applyFill="1" applyBorder="1" applyAlignment="1">
      <alignment horizontal="center"/>
    </xf>
    <xf numFmtId="165" fontId="2" fillId="0" borderId="17" xfId="0" applyNumberFormat="1" applyFont="1" applyFill="1" applyBorder="1" applyAlignment="1">
      <alignment horizontal="center"/>
    </xf>
    <xf numFmtId="165" fontId="2" fillId="0" borderId="19" xfId="0" applyNumberFormat="1" applyFont="1" applyFill="1" applyBorder="1" applyAlignment="1">
      <alignment horizontal="center"/>
    </xf>
    <xf numFmtId="165" fontId="2" fillId="0" borderId="20" xfId="0" applyNumberFormat="1" applyFont="1" applyFill="1" applyBorder="1" applyAlignment="1">
      <alignment horizontal="center"/>
    </xf>
    <xf numFmtId="165" fontId="2" fillId="0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707571</xdr:colOff>
      <xdr:row>47</xdr:row>
      <xdr:rowOff>0</xdr:rowOff>
    </xdr:from>
    <xdr:ext cx="381001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id="{4438D8CC-F410-4EB8-AC97-2B9A362118A5}"/>
                </a:ext>
              </a:extLst>
            </xdr:cNvPr>
            <xdr:cNvSpPr txBox="1"/>
          </xdr:nvSpPr>
          <xdr:spPr>
            <a:xfrm>
              <a:off x="707571" y="1612582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pt-BR" sz="1100" i="1">
                            <a:latin typeface="Cambria Math"/>
                          </a:rPr>
                        </m:ctrlPr>
                      </m:sSub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b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4">
              <a:extLst>
                <a:ext uri="{FF2B5EF4-FFF2-40B4-BE49-F238E27FC236}">
                  <a16:creationId xmlns:a16="http://schemas.microsoft.com/office/drawing/2014/main" xmlns:a14="http://schemas.microsoft.com/office/drawing/2010/main" xmlns="" id="{4438D8CC-F410-4EB8-AC97-2B9A362118A5}"/>
                </a:ext>
              </a:extLst>
            </xdr:cNvPr>
            <xdr:cNvSpPr txBox="1"/>
          </xdr:nvSpPr>
          <xdr:spPr>
            <a:xfrm>
              <a:off x="707571" y="1612582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𝑟</a:t>
              </a:r>
              <a:r>
                <a:rPr lang="pt-BR" sz="1100" b="0" i="0">
                  <a:latin typeface="Cambria Math"/>
                </a:rPr>
                <a:t>_</a:t>
              </a:r>
              <a:r>
                <a:rPr lang="pt-BR" sz="1100" b="0" i="0">
                  <a:latin typeface="Cambria Math" panose="02040503050406030204" pitchFamily="18" charset="0"/>
                </a:rPr>
                <a:t>𝑖𝑗</a:t>
              </a:r>
              <a:r>
                <a:rPr lang="pt-BR" sz="1100" b="0" i="0">
                  <a:latin typeface="Cambria Math"/>
                </a:rPr>
                <a:t>^</a:t>
              </a:r>
              <a:r>
                <a:rPr lang="pt-BR" sz="1100" b="0" i="0">
                  <a:latin typeface="Cambria Math" panose="02040503050406030204" pitchFamily="18" charset="0"/>
                </a:rPr>
                <a:t>𝑐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707571</xdr:colOff>
      <xdr:row>47</xdr:row>
      <xdr:rowOff>0</xdr:rowOff>
    </xdr:from>
    <xdr:ext cx="381001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id="{4438D8CC-F410-4EB8-AC97-2B9A362118A5}"/>
                </a:ext>
              </a:extLst>
            </xdr:cNvPr>
            <xdr:cNvSpPr txBox="1"/>
          </xdr:nvSpPr>
          <xdr:spPr>
            <a:xfrm>
              <a:off x="1317171" y="90963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pt-BR" sz="1100" i="1">
                            <a:latin typeface="Cambria Math"/>
                          </a:rPr>
                        </m:ctrlPr>
                      </m:sSub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b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xmlns:a14="http://schemas.microsoft.com/office/drawing/2010/main" id="{4438D8CC-F410-4EB8-AC97-2B9A362118A5}"/>
                </a:ext>
              </a:extLst>
            </xdr:cNvPr>
            <xdr:cNvSpPr txBox="1"/>
          </xdr:nvSpPr>
          <xdr:spPr>
            <a:xfrm>
              <a:off x="1317171" y="90963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𝑟</a:t>
              </a:r>
              <a:r>
                <a:rPr lang="pt-BR" sz="1100" b="0" i="0">
                  <a:latin typeface="Cambria Math"/>
                </a:rPr>
                <a:t>_</a:t>
              </a:r>
              <a:r>
                <a:rPr lang="pt-BR" sz="1100" b="0" i="0">
                  <a:latin typeface="Cambria Math" panose="02040503050406030204" pitchFamily="18" charset="0"/>
                </a:rPr>
                <a:t>𝑖𝑗</a:t>
              </a:r>
              <a:r>
                <a:rPr lang="pt-BR" sz="1100" b="0" i="0">
                  <a:latin typeface="Cambria Math"/>
                </a:rPr>
                <a:t>^</a:t>
              </a:r>
              <a:r>
                <a:rPr lang="pt-BR" sz="1100" b="0" i="0">
                  <a:latin typeface="Cambria Math" panose="02040503050406030204" pitchFamily="18" charset="0"/>
                </a:rPr>
                <a:t>𝑐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707571</xdr:colOff>
      <xdr:row>47</xdr:row>
      <xdr:rowOff>0</xdr:rowOff>
    </xdr:from>
    <xdr:ext cx="381001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pt-BR" sz="1100" i="1">
                            <a:latin typeface="Cambria Math"/>
                          </a:rPr>
                        </m:ctrlPr>
                      </m:sSub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b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xmlns:a14="http://schemas.microsoft.com/office/drawing/2010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𝑟</a:t>
              </a:r>
              <a:r>
                <a:rPr lang="pt-BR" sz="1100" b="0" i="0">
                  <a:latin typeface="Cambria Math"/>
                </a:rPr>
                <a:t>_</a:t>
              </a:r>
              <a:r>
                <a:rPr lang="pt-BR" sz="1100" b="0" i="0">
                  <a:latin typeface="Cambria Math" panose="02040503050406030204" pitchFamily="18" charset="0"/>
                </a:rPr>
                <a:t>𝑖𝑗</a:t>
              </a:r>
              <a:r>
                <a:rPr lang="pt-BR" sz="1100" b="0" i="0">
                  <a:latin typeface="Cambria Math"/>
                </a:rPr>
                <a:t>^</a:t>
              </a:r>
              <a:r>
                <a:rPr lang="pt-BR" sz="1100" b="0" i="0">
                  <a:latin typeface="Cambria Math" panose="02040503050406030204" pitchFamily="18" charset="0"/>
                </a:rPr>
                <a:t>𝑐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707571</xdr:colOff>
      <xdr:row>47</xdr:row>
      <xdr:rowOff>0</xdr:rowOff>
    </xdr:from>
    <xdr:ext cx="381001" cy="2857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pt-BR" sz="1100" i="1">
                            <a:latin typeface="Cambria Math"/>
                          </a:rPr>
                        </m:ctrlPr>
                      </m:sSub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bSup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xmlns:a14="http://schemas.microsoft.com/office/drawing/2010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𝑟</a:t>
              </a:r>
              <a:r>
                <a:rPr lang="pt-BR" sz="1100" b="0" i="0">
                  <a:latin typeface="Cambria Math"/>
                </a:rPr>
                <a:t>_</a:t>
              </a:r>
              <a:r>
                <a:rPr lang="pt-BR" sz="1100" b="0" i="0">
                  <a:latin typeface="Cambria Math" panose="02040503050406030204" pitchFamily="18" charset="0"/>
                </a:rPr>
                <a:t>𝑖𝑗</a:t>
              </a:r>
              <a:r>
                <a:rPr lang="pt-BR" sz="1100" b="0" i="0">
                  <a:latin typeface="Cambria Math"/>
                </a:rPr>
                <a:t>^</a:t>
              </a:r>
              <a:r>
                <a:rPr lang="pt-BR" sz="1100" b="0" i="0">
                  <a:latin typeface="Cambria Math" panose="02040503050406030204" pitchFamily="18" charset="0"/>
                </a:rPr>
                <a:t>𝑐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707571</xdr:colOff>
      <xdr:row>47</xdr:row>
      <xdr:rowOff>0</xdr:rowOff>
    </xdr:from>
    <xdr:ext cx="381001" cy="2857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pt-BR" sz="1100" i="1">
                            <a:latin typeface="Cambria Math"/>
                          </a:rPr>
                        </m:ctrlPr>
                      </m:sSub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bSup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4">
              <a:extLst>
                <a:ext uri="{FF2B5EF4-FFF2-40B4-BE49-F238E27FC236}">
                  <a16:creationId xmlns="" xmlns:a16="http://schemas.microsoft.com/office/drawing/2014/main" xmlns:a14="http://schemas.microsoft.com/office/drawing/2010/main" id="{4438D8CC-F410-4EB8-AC97-2B9A362118A5}"/>
                </a:ext>
              </a:extLst>
            </xdr:cNvPr>
            <xdr:cNvSpPr txBox="1"/>
          </xdr:nvSpPr>
          <xdr:spPr>
            <a:xfrm>
              <a:off x="1317171" y="9058275"/>
              <a:ext cx="381001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𝑟</a:t>
              </a:r>
              <a:r>
                <a:rPr lang="pt-BR" sz="1100" b="0" i="0">
                  <a:latin typeface="Cambria Math"/>
                </a:rPr>
                <a:t>_</a:t>
              </a:r>
              <a:r>
                <a:rPr lang="pt-BR" sz="1100" b="0" i="0">
                  <a:latin typeface="Cambria Math" panose="02040503050406030204" pitchFamily="18" charset="0"/>
                </a:rPr>
                <a:t>𝑖𝑗</a:t>
              </a:r>
              <a:r>
                <a:rPr lang="pt-BR" sz="1100" b="0" i="0">
                  <a:latin typeface="Cambria Math"/>
                </a:rPr>
                <a:t>^</a:t>
              </a:r>
              <a:r>
                <a:rPr lang="pt-BR" sz="1100" b="0" i="0">
                  <a:latin typeface="Cambria Math" panose="02040503050406030204" pitchFamily="18" charset="0"/>
                </a:rPr>
                <a:t>𝑐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20"/>
  <sheetViews>
    <sheetView zoomScale="115" zoomScaleNormal="115" workbookViewId="0">
      <selection activeCell="B34" sqref="B34"/>
    </sheetView>
  </sheetViews>
  <sheetFormatPr defaultRowHeight="15" x14ac:dyDescent="0.25"/>
  <cols>
    <col min="2" max="2" width="14.28515625" bestFit="1" customWidth="1"/>
    <col min="3" max="4" width="14.140625" bestFit="1" customWidth="1"/>
    <col min="5" max="6" width="14.5703125" bestFit="1" customWidth="1"/>
    <col min="7" max="7" width="11.42578125" bestFit="1" customWidth="1"/>
    <col min="8" max="9" width="18.7109375" bestFit="1" customWidth="1"/>
  </cols>
  <sheetData>
    <row r="1" spans="2:16" ht="15.75" thickBot="1" x14ac:dyDescent="0.3"/>
    <row r="2" spans="2:16" x14ac:dyDescent="0.25">
      <c r="B2" s="14" t="s">
        <v>0</v>
      </c>
      <c r="C2" s="12" t="s">
        <v>5</v>
      </c>
      <c r="D2" s="12" t="s">
        <v>6</v>
      </c>
      <c r="E2" s="12" t="s">
        <v>7</v>
      </c>
      <c r="F2" s="13" t="s">
        <v>8</v>
      </c>
      <c r="H2" s="14" t="s">
        <v>0</v>
      </c>
      <c r="I2" s="12" t="s">
        <v>5</v>
      </c>
      <c r="J2" s="12" t="s">
        <v>39</v>
      </c>
      <c r="K2" s="12" t="s">
        <v>40</v>
      </c>
      <c r="L2" s="13" t="s">
        <v>8</v>
      </c>
      <c r="N2" s="16" t="s">
        <v>16</v>
      </c>
      <c r="O2" s="18">
        <v>0</v>
      </c>
    </row>
    <row r="3" spans="2:16" ht="18" x14ac:dyDescent="0.35">
      <c r="B3" s="1" t="s">
        <v>1</v>
      </c>
      <c r="C3" s="3" t="s">
        <v>20</v>
      </c>
      <c r="D3" s="3" t="s">
        <v>22</v>
      </c>
      <c r="E3" s="3" t="s">
        <v>20</v>
      </c>
      <c r="F3" s="4" t="s">
        <v>19</v>
      </c>
      <c r="H3" s="1" t="s">
        <v>1</v>
      </c>
      <c r="I3" s="3" t="s">
        <v>28</v>
      </c>
      <c r="J3" s="3" t="s">
        <v>41</v>
      </c>
      <c r="K3" s="3" t="s">
        <v>43</v>
      </c>
      <c r="L3" s="3" t="s">
        <v>27</v>
      </c>
      <c r="N3" s="16" t="s">
        <v>17</v>
      </c>
      <c r="O3" s="11">
        <v>1</v>
      </c>
      <c r="P3" s="11"/>
    </row>
    <row r="4" spans="2:16" ht="18" x14ac:dyDescent="0.35">
      <c r="B4" s="1" t="s">
        <v>2</v>
      </c>
      <c r="C4" s="3" t="s">
        <v>21</v>
      </c>
      <c r="D4" s="3" t="s">
        <v>21</v>
      </c>
      <c r="E4" s="3" t="s">
        <v>22</v>
      </c>
      <c r="F4" s="4" t="s">
        <v>22</v>
      </c>
      <c r="H4" s="1" t="s">
        <v>2</v>
      </c>
      <c r="I4" s="3" t="s">
        <v>29</v>
      </c>
      <c r="J4" s="3" t="s">
        <v>42</v>
      </c>
      <c r="K4" s="3" t="s">
        <v>41</v>
      </c>
      <c r="L4" s="3" t="s">
        <v>12</v>
      </c>
      <c r="N4" s="16" t="s">
        <v>18</v>
      </c>
      <c r="O4" s="11">
        <v>2</v>
      </c>
    </row>
    <row r="5" spans="2:16" ht="18" x14ac:dyDescent="0.35">
      <c r="B5" s="1" t="s">
        <v>3</v>
      </c>
      <c r="C5" s="3" t="s">
        <v>22</v>
      </c>
      <c r="D5" s="3" t="s">
        <v>20</v>
      </c>
      <c r="E5" s="3" t="s">
        <v>21</v>
      </c>
      <c r="F5" s="4" t="s">
        <v>20</v>
      </c>
      <c r="H5" s="1" t="s">
        <v>3</v>
      </c>
      <c r="I5" s="3" t="s">
        <v>12</v>
      </c>
      <c r="J5" s="3" t="s">
        <v>43</v>
      </c>
      <c r="K5" s="3" t="s">
        <v>42</v>
      </c>
      <c r="L5" s="3" t="s">
        <v>28</v>
      </c>
      <c r="N5" s="16" t="s">
        <v>19</v>
      </c>
      <c r="O5" s="11">
        <v>3</v>
      </c>
    </row>
    <row r="6" spans="2:16" ht="18" x14ac:dyDescent="0.35">
      <c r="B6" s="1" t="s">
        <v>4</v>
      </c>
      <c r="C6" s="3" t="s">
        <v>20</v>
      </c>
      <c r="D6" s="3" t="s">
        <v>21</v>
      </c>
      <c r="E6" s="3" t="s">
        <v>20</v>
      </c>
      <c r="F6" s="4" t="s">
        <v>19</v>
      </c>
      <c r="H6" s="1" t="s">
        <v>4</v>
      </c>
      <c r="I6" s="3" t="s">
        <v>28</v>
      </c>
      <c r="J6" s="3" t="s">
        <v>42</v>
      </c>
      <c r="K6" s="3" t="s">
        <v>43</v>
      </c>
      <c r="L6" s="3" t="s">
        <v>27</v>
      </c>
      <c r="N6" s="16" t="s">
        <v>20</v>
      </c>
      <c r="O6" s="11">
        <v>4</v>
      </c>
    </row>
    <row r="7" spans="2:16" ht="15.75" thickBot="1" x14ac:dyDescent="0.3">
      <c r="N7" s="16" t="s">
        <v>21</v>
      </c>
      <c r="O7" s="11">
        <v>5</v>
      </c>
    </row>
    <row r="8" spans="2:16" x14ac:dyDescent="0.25">
      <c r="B8" s="14" t="s">
        <v>9</v>
      </c>
      <c r="C8" s="12" t="s">
        <v>5</v>
      </c>
      <c r="D8" s="12" t="s">
        <v>6</v>
      </c>
      <c r="E8" s="12" t="s">
        <v>7</v>
      </c>
      <c r="F8" s="13" t="s">
        <v>8</v>
      </c>
      <c r="H8" s="14" t="s">
        <v>9</v>
      </c>
      <c r="I8" s="12" t="s">
        <v>5</v>
      </c>
      <c r="J8" s="12" t="s">
        <v>39</v>
      </c>
      <c r="K8" s="12" t="s">
        <v>40</v>
      </c>
      <c r="L8" s="13" t="s">
        <v>8</v>
      </c>
      <c r="N8" s="16" t="s">
        <v>22</v>
      </c>
      <c r="O8" s="11">
        <v>6</v>
      </c>
    </row>
    <row r="9" spans="2:16" ht="18" x14ac:dyDescent="0.35">
      <c r="B9" s="1" t="s">
        <v>1</v>
      </c>
      <c r="C9" s="3" t="s">
        <v>23</v>
      </c>
      <c r="D9" s="3" t="s">
        <v>25</v>
      </c>
      <c r="E9" s="3" t="s">
        <v>23</v>
      </c>
      <c r="F9" s="4" t="s">
        <v>26</v>
      </c>
      <c r="H9" s="1" t="s">
        <v>1</v>
      </c>
      <c r="I9" s="3" t="s">
        <v>10</v>
      </c>
      <c r="J9" s="3" t="s">
        <v>44</v>
      </c>
      <c r="K9" s="3" t="s">
        <v>46</v>
      </c>
      <c r="L9" s="3" t="s">
        <v>31</v>
      </c>
      <c r="P9" s="5"/>
    </row>
    <row r="10" spans="2:16" ht="18" x14ac:dyDescent="0.35">
      <c r="B10" s="1" t="s">
        <v>2</v>
      </c>
      <c r="C10" s="3" t="s">
        <v>24</v>
      </c>
      <c r="D10" s="3" t="s">
        <v>24</v>
      </c>
      <c r="E10" s="3" t="s">
        <v>25</v>
      </c>
      <c r="F10" s="4" t="s">
        <v>25</v>
      </c>
      <c r="H10" s="1" t="s">
        <v>2</v>
      </c>
      <c r="I10" s="3" t="s">
        <v>30</v>
      </c>
      <c r="J10" s="3" t="s">
        <v>45</v>
      </c>
      <c r="K10" s="3" t="s">
        <v>44</v>
      </c>
      <c r="L10" s="3" t="s">
        <v>11</v>
      </c>
    </row>
    <row r="11" spans="2:16" ht="18" x14ac:dyDescent="0.35">
      <c r="B11" s="1" t="s">
        <v>3</v>
      </c>
      <c r="C11" s="3" t="s">
        <v>25</v>
      </c>
      <c r="D11" s="3" t="s">
        <v>23</v>
      </c>
      <c r="E11" s="3" t="s">
        <v>25</v>
      </c>
      <c r="F11" s="4" t="s">
        <v>24</v>
      </c>
      <c r="H11" s="1" t="s">
        <v>3</v>
      </c>
      <c r="I11" s="3" t="s">
        <v>11</v>
      </c>
      <c r="J11" s="3" t="s">
        <v>46</v>
      </c>
      <c r="K11" s="3" t="s">
        <v>44</v>
      </c>
      <c r="L11" s="3" t="s">
        <v>30</v>
      </c>
    </row>
    <row r="12" spans="2:16" ht="18" x14ac:dyDescent="0.35">
      <c r="B12" s="1" t="s">
        <v>4</v>
      </c>
      <c r="C12" s="3" t="s">
        <v>25</v>
      </c>
      <c r="D12" s="3" t="s">
        <v>20</v>
      </c>
      <c r="E12" s="3" t="s">
        <v>23</v>
      </c>
      <c r="F12" s="4" t="s">
        <v>21</v>
      </c>
      <c r="H12" s="1" t="s">
        <v>4</v>
      </c>
      <c r="I12" s="3" t="s">
        <v>11</v>
      </c>
      <c r="J12" s="3" t="s">
        <v>43</v>
      </c>
      <c r="K12" s="3" t="s">
        <v>46</v>
      </c>
      <c r="L12" s="3" t="s">
        <v>29</v>
      </c>
    </row>
    <row r="13" spans="2:16" ht="15.75" thickBot="1" x14ac:dyDescent="0.3">
      <c r="B13" s="15"/>
      <c r="C13" s="11"/>
      <c r="D13" s="11"/>
      <c r="E13" s="11"/>
      <c r="F13" s="11"/>
      <c r="G13" s="19"/>
      <c r="H13" s="11"/>
      <c r="I13" s="11"/>
      <c r="J13" s="11"/>
      <c r="K13" s="11"/>
      <c r="L13" s="11"/>
      <c r="M13" s="19"/>
    </row>
    <row r="14" spans="2:16" x14ac:dyDescent="0.25">
      <c r="B14" s="28"/>
      <c r="C14" s="29"/>
      <c r="D14" s="30" t="s">
        <v>33</v>
      </c>
      <c r="E14" s="30"/>
      <c r="F14" s="30"/>
      <c r="G14" s="31"/>
      <c r="H14" s="32"/>
      <c r="I14" s="32"/>
      <c r="J14" s="19"/>
      <c r="K14" s="19"/>
      <c r="L14" s="19"/>
      <c r="M14" s="19"/>
      <c r="O14" s="5" t="s">
        <v>13</v>
      </c>
    </row>
    <row r="15" spans="2:16" x14ac:dyDescent="0.25">
      <c r="B15" s="1" t="s">
        <v>32</v>
      </c>
      <c r="C15" s="17"/>
      <c r="D15" s="24" t="s">
        <v>34</v>
      </c>
      <c r="E15" s="24" t="s">
        <v>35</v>
      </c>
      <c r="F15" s="25" t="s">
        <v>36</v>
      </c>
      <c r="G15" s="24" t="s">
        <v>37</v>
      </c>
      <c r="H15" s="33" t="s">
        <v>38</v>
      </c>
      <c r="I15" s="33" t="s">
        <v>74</v>
      </c>
      <c r="J15" s="10"/>
      <c r="K15" s="10"/>
      <c r="L15" s="10"/>
    </row>
    <row r="16" spans="2:16" x14ac:dyDescent="0.25">
      <c r="B16" s="1" t="s">
        <v>5</v>
      </c>
      <c r="C16" s="17" t="s">
        <v>22</v>
      </c>
      <c r="D16" s="26">
        <v>5</v>
      </c>
      <c r="E16" s="26">
        <v>6</v>
      </c>
      <c r="F16" s="26">
        <v>6</v>
      </c>
      <c r="G16" s="27">
        <f>+(D16+4*E16+F16)/6</f>
        <v>5.833333333333333</v>
      </c>
      <c r="H16" s="34">
        <f>+G16/SUM($G$16:$G$19)</f>
        <v>0.39325842696629215</v>
      </c>
      <c r="I16" s="34">
        <v>0.25</v>
      </c>
      <c r="J16" s="11"/>
      <c r="K16" s="11"/>
      <c r="L16" s="11"/>
    </row>
    <row r="17" spans="2:12" x14ac:dyDescent="0.25">
      <c r="B17" s="1" t="s">
        <v>6</v>
      </c>
      <c r="C17" s="17" t="s">
        <v>20</v>
      </c>
      <c r="D17" s="26">
        <v>3</v>
      </c>
      <c r="E17" s="26">
        <v>4</v>
      </c>
      <c r="F17" s="26">
        <v>5</v>
      </c>
      <c r="G17" s="27">
        <f t="shared" ref="G17:G19" si="0">+(D17+4*E17+F17)/6</f>
        <v>4</v>
      </c>
      <c r="H17" s="34">
        <f t="shared" ref="H17:H19" si="1">+G17/SUM($G$16:$G$19)</f>
        <v>0.26966292134831465</v>
      </c>
      <c r="I17" s="34">
        <v>0.25</v>
      </c>
      <c r="J17" s="11"/>
      <c r="K17" s="11"/>
      <c r="L17" s="11"/>
    </row>
    <row r="18" spans="2:12" x14ac:dyDescent="0.25">
      <c r="B18" s="1" t="s">
        <v>7</v>
      </c>
      <c r="C18" s="17" t="s">
        <v>19</v>
      </c>
      <c r="D18" s="26">
        <v>2</v>
      </c>
      <c r="E18" s="26">
        <v>3</v>
      </c>
      <c r="F18" s="26">
        <v>4</v>
      </c>
      <c r="G18" s="27">
        <f t="shared" si="0"/>
        <v>3</v>
      </c>
      <c r="H18" s="34">
        <f t="shared" si="1"/>
        <v>0.20224719101123598</v>
      </c>
      <c r="I18" s="34">
        <v>0.25</v>
      </c>
      <c r="J18" s="11"/>
      <c r="K18" s="11"/>
      <c r="L18" s="11"/>
    </row>
    <row r="19" spans="2:12" ht="15.75" thickBot="1" x14ac:dyDescent="0.3">
      <c r="B19" s="2" t="s">
        <v>8</v>
      </c>
      <c r="C19" s="35" t="s">
        <v>18</v>
      </c>
      <c r="D19" s="36">
        <v>1</v>
      </c>
      <c r="E19" s="36">
        <v>2</v>
      </c>
      <c r="F19" s="36">
        <v>3</v>
      </c>
      <c r="G19" s="37">
        <f t="shared" si="0"/>
        <v>2</v>
      </c>
      <c r="H19" s="38">
        <f t="shared" si="1"/>
        <v>0.13483146067415733</v>
      </c>
      <c r="I19" s="34">
        <v>0.25</v>
      </c>
      <c r="J19" s="11"/>
      <c r="K19" s="11"/>
      <c r="L19" s="11"/>
    </row>
    <row r="20" spans="2:12" x14ac:dyDescent="0.25">
      <c r="I20" s="11"/>
      <c r="J20" s="11"/>
      <c r="K20" s="11"/>
      <c r="L20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AD90"/>
  <sheetViews>
    <sheetView topLeftCell="A52" zoomScale="85" zoomScaleNormal="85" workbookViewId="0">
      <selection activeCell="I58" sqref="I58"/>
    </sheetView>
  </sheetViews>
  <sheetFormatPr defaultRowHeight="15" x14ac:dyDescent="0.25"/>
  <cols>
    <col min="2" max="2" width="17" bestFit="1" customWidth="1"/>
    <col min="3" max="3" width="11" customWidth="1"/>
    <col min="14" max="14" width="13.5703125" customWidth="1"/>
  </cols>
  <sheetData>
    <row r="1" spans="2:20" ht="15.75" thickBot="1" x14ac:dyDescent="0.3"/>
    <row r="2" spans="2:20" x14ac:dyDescent="0.25">
      <c r="B2" s="130" t="s">
        <v>0</v>
      </c>
      <c r="C2" s="132" t="s">
        <v>5</v>
      </c>
      <c r="D2" s="132"/>
      <c r="E2" s="132" t="s">
        <v>6</v>
      </c>
      <c r="F2" s="132"/>
      <c r="G2" s="132" t="s">
        <v>7</v>
      </c>
      <c r="H2" s="132"/>
      <c r="I2" s="132" t="s">
        <v>8</v>
      </c>
      <c r="J2" s="133"/>
      <c r="L2" s="20"/>
      <c r="M2" s="9"/>
      <c r="N2" s="9"/>
      <c r="O2" s="9"/>
      <c r="P2" s="9"/>
      <c r="Q2" s="9"/>
      <c r="R2" s="9"/>
      <c r="S2" s="9"/>
      <c r="T2" s="9"/>
    </row>
    <row r="3" spans="2:20" x14ac:dyDescent="0.25">
      <c r="B3" s="131"/>
      <c r="C3" s="6" t="s">
        <v>14</v>
      </c>
      <c r="D3" s="6" t="s">
        <v>15</v>
      </c>
      <c r="E3" s="6" t="s">
        <v>14</v>
      </c>
      <c r="F3" s="6" t="s">
        <v>15</v>
      </c>
      <c r="G3" s="6" t="s">
        <v>14</v>
      </c>
      <c r="H3" s="6" t="s">
        <v>15</v>
      </c>
      <c r="I3" s="6" t="s">
        <v>14</v>
      </c>
      <c r="J3" s="7" t="s">
        <v>15</v>
      </c>
      <c r="L3" s="20"/>
      <c r="M3" s="21"/>
      <c r="N3" s="21"/>
      <c r="O3" s="21"/>
      <c r="P3" s="21"/>
      <c r="Q3" s="21"/>
      <c r="R3" s="21"/>
      <c r="S3" s="21"/>
      <c r="T3" s="21"/>
    </row>
    <row r="4" spans="2:20" x14ac:dyDescent="0.25">
      <c r="B4" s="1" t="s">
        <v>1</v>
      </c>
      <c r="C4" s="3">
        <v>4</v>
      </c>
      <c r="D4" s="3">
        <v>4</v>
      </c>
      <c r="E4" s="3">
        <v>0</v>
      </c>
      <c r="F4" s="3">
        <v>0</v>
      </c>
      <c r="G4" s="3">
        <v>2</v>
      </c>
      <c r="H4" s="3">
        <v>2</v>
      </c>
      <c r="I4" s="3">
        <v>3</v>
      </c>
      <c r="J4" s="4">
        <v>3</v>
      </c>
      <c r="L4" s="11"/>
      <c r="M4" s="11"/>
      <c r="N4" s="11"/>
      <c r="O4" s="11"/>
      <c r="P4" s="11"/>
      <c r="Q4" s="11"/>
      <c r="R4" s="11"/>
      <c r="S4" s="11"/>
      <c r="T4" s="11"/>
    </row>
    <row r="5" spans="2:20" x14ac:dyDescent="0.25">
      <c r="B5" s="1" t="s">
        <v>2</v>
      </c>
      <c r="C5" s="3">
        <v>5</v>
      </c>
      <c r="D5" s="3">
        <v>5</v>
      </c>
      <c r="E5" s="3">
        <v>1</v>
      </c>
      <c r="F5" s="3">
        <v>1</v>
      </c>
      <c r="G5" s="3">
        <v>0</v>
      </c>
      <c r="H5" s="3">
        <v>0</v>
      </c>
      <c r="I5" s="3">
        <v>6</v>
      </c>
      <c r="J5" s="4">
        <v>6</v>
      </c>
      <c r="L5" s="11"/>
      <c r="M5" s="11"/>
      <c r="N5" s="11"/>
      <c r="O5" s="11"/>
      <c r="P5" s="11"/>
      <c r="Q5" s="11"/>
      <c r="R5" s="11"/>
      <c r="S5" s="11"/>
      <c r="T5" s="11"/>
    </row>
    <row r="6" spans="2:20" x14ac:dyDescent="0.25">
      <c r="B6" s="1" t="s">
        <v>3</v>
      </c>
      <c r="C6" s="3">
        <v>6</v>
      </c>
      <c r="D6" s="3">
        <v>6</v>
      </c>
      <c r="E6" s="3">
        <v>2</v>
      </c>
      <c r="F6" s="3">
        <v>2</v>
      </c>
      <c r="G6" s="3">
        <v>1</v>
      </c>
      <c r="H6" s="3">
        <v>1</v>
      </c>
      <c r="I6" s="3">
        <v>4</v>
      </c>
      <c r="J6" s="4">
        <v>4</v>
      </c>
      <c r="L6" s="11"/>
      <c r="M6" s="11"/>
      <c r="N6" s="11"/>
      <c r="O6" s="11"/>
      <c r="P6" s="11"/>
      <c r="Q6" s="11"/>
      <c r="R6" s="11"/>
      <c r="S6" s="11"/>
      <c r="T6" s="11"/>
    </row>
    <row r="7" spans="2:20" x14ac:dyDescent="0.25">
      <c r="B7" s="1" t="s">
        <v>4</v>
      </c>
      <c r="C7" s="3">
        <v>4</v>
      </c>
      <c r="D7" s="3">
        <v>4</v>
      </c>
      <c r="E7" s="3">
        <v>1</v>
      </c>
      <c r="F7" s="3">
        <v>1</v>
      </c>
      <c r="G7" s="3">
        <v>2</v>
      </c>
      <c r="H7" s="3">
        <v>2</v>
      </c>
      <c r="I7" s="3">
        <v>3</v>
      </c>
      <c r="J7" s="4">
        <v>3</v>
      </c>
      <c r="L7" s="11"/>
      <c r="M7" s="11"/>
      <c r="N7" s="11"/>
      <c r="O7" s="11"/>
      <c r="P7" s="11"/>
      <c r="Q7" s="11"/>
      <c r="R7" s="11"/>
      <c r="S7" s="11"/>
      <c r="T7" s="11"/>
    </row>
    <row r="8" spans="2:20" ht="15.75" thickBot="1" x14ac:dyDescent="0.3"/>
    <row r="9" spans="2:20" x14ac:dyDescent="0.25">
      <c r="B9" s="130" t="s">
        <v>9</v>
      </c>
      <c r="C9" s="132" t="s">
        <v>5</v>
      </c>
      <c r="D9" s="132"/>
      <c r="E9" s="132" t="s">
        <v>6</v>
      </c>
      <c r="F9" s="132"/>
      <c r="G9" s="132" t="s">
        <v>7</v>
      </c>
      <c r="H9" s="132"/>
      <c r="I9" s="132" t="s">
        <v>8</v>
      </c>
      <c r="J9" s="133"/>
    </row>
    <row r="10" spans="2:20" x14ac:dyDescent="0.25">
      <c r="B10" s="131"/>
      <c r="C10" s="6" t="s">
        <v>14</v>
      </c>
      <c r="D10" s="6" t="s">
        <v>15</v>
      </c>
      <c r="E10" s="6" t="s">
        <v>14</v>
      </c>
      <c r="F10" s="6" t="s">
        <v>15</v>
      </c>
      <c r="G10" s="6" t="s">
        <v>14</v>
      </c>
      <c r="H10" s="6" t="s">
        <v>15</v>
      </c>
      <c r="I10" s="6" t="s">
        <v>14</v>
      </c>
      <c r="J10" s="7" t="s">
        <v>15</v>
      </c>
    </row>
    <row r="11" spans="2:20" ht="18" x14ac:dyDescent="0.35">
      <c r="B11" s="1" t="s">
        <v>1</v>
      </c>
      <c r="C11" s="3">
        <v>3</v>
      </c>
      <c r="D11" s="3">
        <v>4</v>
      </c>
      <c r="E11" s="3">
        <v>0</v>
      </c>
      <c r="F11" s="3">
        <v>1</v>
      </c>
      <c r="G11" s="3">
        <v>2</v>
      </c>
      <c r="H11" s="3">
        <v>3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1</v>
      </c>
      <c r="F12" s="3">
        <v>2</v>
      </c>
      <c r="G12" s="3">
        <v>0</v>
      </c>
      <c r="H12" s="3">
        <v>1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2</v>
      </c>
      <c r="F13" s="3">
        <v>3</v>
      </c>
      <c r="G13" s="3">
        <v>0</v>
      </c>
      <c r="H13" s="3">
        <v>1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2</v>
      </c>
      <c r="F14" s="3">
        <v>2</v>
      </c>
      <c r="G14" s="3">
        <v>2</v>
      </c>
      <c r="H14" s="3">
        <v>3</v>
      </c>
      <c r="I14" s="3">
        <v>5</v>
      </c>
      <c r="J14" s="4">
        <v>5</v>
      </c>
    </row>
    <row r="15" spans="2:20" ht="15.75" thickBot="1" x14ac:dyDescent="0.3"/>
    <row r="16" spans="2:20" x14ac:dyDescent="0.25">
      <c r="B16" s="39" t="s">
        <v>47</v>
      </c>
      <c r="C16" s="40" t="s">
        <v>5</v>
      </c>
      <c r="D16" s="40" t="s">
        <v>6</v>
      </c>
      <c r="E16" s="40" t="s">
        <v>7</v>
      </c>
      <c r="F16" s="41" t="s">
        <v>8</v>
      </c>
      <c r="G16" s="9"/>
      <c r="H16" s="39" t="s">
        <v>47</v>
      </c>
      <c r="I16" s="40" t="s">
        <v>5</v>
      </c>
      <c r="J16" s="40" t="s">
        <v>6</v>
      </c>
      <c r="K16" s="40" t="s">
        <v>7</v>
      </c>
      <c r="L16" s="41" t="s">
        <v>8</v>
      </c>
    </row>
    <row r="17" spans="2:12" x14ac:dyDescent="0.25">
      <c r="B17" s="42" t="s">
        <v>48</v>
      </c>
      <c r="C17" s="8">
        <f>ABS(MIN(C4:D4)-MIN(C4:D4))+ABS(MAX(C4:D4)-MAX(C4:D4))</f>
        <v>0</v>
      </c>
      <c r="D17" s="8">
        <f>ABS(MIN(E4:F4)-MIN(E4:F4))+ABS(MAX(E4:F4)-MAX(E4:F4))</f>
        <v>0</v>
      </c>
      <c r="E17" s="8">
        <f>ABS(MIN(G4:H4)-MIN(G4:H4))+ABS(MAX(G4:H4)-MAX(G4:H4))</f>
        <v>0</v>
      </c>
      <c r="F17" s="8">
        <f>ABS(MIN(I4:J4)-MIN(I4:J4))+ABS(MAX(I4:J4)-MAX(I4:J4))</f>
        <v>0</v>
      </c>
      <c r="G17" s="10"/>
      <c r="H17" s="42" t="s">
        <v>56</v>
      </c>
      <c r="I17" s="8">
        <f>C23</f>
        <v>1</v>
      </c>
      <c r="J17" s="8">
        <f>D23</f>
        <v>1</v>
      </c>
      <c r="K17" s="8">
        <f>E23</f>
        <v>1</v>
      </c>
      <c r="L17" s="8">
        <f>F23</f>
        <v>1</v>
      </c>
    </row>
    <row r="18" spans="2:12" x14ac:dyDescent="0.25">
      <c r="B18" s="43" t="s">
        <v>49</v>
      </c>
      <c r="C18" s="8">
        <f t="shared" ref="C18:C20" si="0">ABS(MIN(C5:D5)-MIN(C5:D5))+ABS(MAX(C5:D5)-MAX(C5:D5))</f>
        <v>0</v>
      </c>
      <c r="D18" s="8">
        <f t="shared" ref="D18:D20" si="1">ABS(MIN(E5:F5)-MIN(E5:F5))+ABS(MAX(E5:F5)-MAX(E5:F5))</f>
        <v>0</v>
      </c>
      <c r="E18" s="8">
        <f t="shared" ref="E18:E20" si="2">ABS(MIN(G5:H5)-MIN(G5:H5))+ABS(MAX(G5:H5)-MAX(G5:H5))</f>
        <v>0</v>
      </c>
      <c r="F18" s="8">
        <f t="shared" ref="F18:F20" si="3">ABS(MIN(I5:J5)-MIN(I5:J5))+ABS(MAX(I5:J5)-MAX(I5:J5))</f>
        <v>0</v>
      </c>
      <c r="G18" s="11"/>
      <c r="H18" s="43" t="s">
        <v>57</v>
      </c>
      <c r="I18" s="8">
        <f t="shared" ref="I18:L18" si="4">C24</f>
        <v>1</v>
      </c>
      <c r="J18" s="8">
        <f t="shared" si="4"/>
        <v>1</v>
      </c>
      <c r="K18" s="8">
        <f t="shared" si="4"/>
        <v>1</v>
      </c>
      <c r="L18" s="8">
        <f t="shared" si="4"/>
        <v>1</v>
      </c>
    </row>
    <row r="19" spans="2:12" x14ac:dyDescent="0.25">
      <c r="B19" s="43" t="s">
        <v>50</v>
      </c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11"/>
      <c r="H19" s="43" t="s">
        <v>58</v>
      </c>
      <c r="I19" s="8">
        <f t="shared" ref="I19:L19" si="5">C25</f>
        <v>1</v>
      </c>
      <c r="J19" s="8">
        <f t="shared" si="5"/>
        <v>1</v>
      </c>
      <c r="K19" s="8">
        <f t="shared" si="5"/>
        <v>1</v>
      </c>
      <c r="L19" s="8">
        <f t="shared" si="5"/>
        <v>1</v>
      </c>
    </row>
    <row r="20" spans="2:12" ht="15.75" thickBot="1" x14ac:dyDescent="0.3">
      <c r="B20" s="44" t="s">
        <v>51</v>
      </c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11"/>
      <c r="H20" s="44" t="s">
        <v>59</v>
      </c>
      <c r="I20" s="8">
        <f t="shared" ref="I20:K20" si="6">C26</f>
        <v>3</v>
      </c>
      <c r="J20" s="8">
        <f t="shared" si="6"/>
        <v>2</v>
      </c>
      <c r="K20" s="8">
        <f t="shared" si="6"/>
        <v>1</v>
      </c>
      <c r="L20" s="8">
        <f>F26</f>
        <v>4</v>
      </c>
    </row>
    <row r="21" spans="2:12" ht="15.75" thickBot="1" x14ac:dyDescent="0.3">
      <c r="B21" s="11"/>
      <c r="C21" s="11"/>
      <c r="D21" s="11"/>
      <c r="E21" s="11"/>
      <c r="F21" s="11"/>
      <c r="G21" s="11"/>
      <c r="H21" s="11"/>
      <c r="I21" s="11"/>
      <c r="J21" s="11"/>
    </row>
    <row r="22" spans="2:12" x14ac:dyDescent="0.25">
      <c r="B22" s="39" t="s">
        <v>47</v>
      </c>
      <c r="C22" s="40" t="s">
        <v>5</v>
      </c>
      <c r="D22" s="40" t="s">
        <v>6</v>
      </c>
      <c r="E22" s="40" t="s">
        <v>7</v>
      </c>
      <c r="F22" s="41" t="s">
        <v>8</v>
      </c>
      <c r="G22" s="11"/>
      <c r="H22" s="39" t="s">
        <v>47</v>
      </c>
      <c r="I22" s="40" t="s">
        <v>5</v>
      </c>
      <c r="J22" s="40" t="s">
        <v>6</v>
      </c>
      <c r="K22" s="40" t="s">
        <v>7</v>
      </c>
      <c r="L22" s="41" t="s">
        <v>8</v>
      </c>
    </row>
    <row r="23" spans="2:12" x14ac:dyDescent="0.25">
      <c r="B23" s="42" t="s">
        <v>52</v>
      </c>
      <c r="C23" s="8">
        <f>ABS(MIN(C11:D11)-MIN(C4:D4))+ABS(MAX(C11:D11)-MAX(C4:D4))</f>
        <v>1</v>
      </c>
      <c r="D23" s="8">
        <f>ABS(MIN(E11:F11)-MIN(E4:F4))+ABS(MAX(E11:F11)-MAX(E4:F4))</f>
        <v>1</v>
      </c>
      <c r="E23" s="8">
        <f>ABS(MIN(G11:H11)-MIN(G4:H4))+ABS(MAX(G11:H11)-MAX(G4:H4))</f>
        <v>1</v>
      </c>
      <c r="F23" s="8">
        <f>ABS(MIN(I11:J11)-MIN(I4:J4))+ABS(MAX(I11:J11)-MAX(I4:J4))</f>
        <v>1</v>
      </c>
      <c r="H23" s="42" t="s">
        <v>60</v>
      </c>
      <c r="I23" s="8">
        <f>ABS(MIN(C11:D11)-MIN(C11:D11))+ABS(MAX(C11:D11)-MAX(C11:D11))</f>
        <v>0</v>
      </c>
      <c r="J23" s="8">
        <f>ABS(MIN(E11:F11)-MIN(E11:F11))+ABS(MAX(E11:F11)-MAX(E11:F11))</f>
        <v>0</v>
      </c>
      <c r="K23" s="8">
        <f>ABS(MIN(G11:H11)-MIN(G11:H11))+ABS(MAX(G11:H11)-MAX(G11:H11))</f>
        <v>0</v>
      </c>
      <c r="L23" s="8">
        <f>ABS(MIN(I11:J11)-MIN(I11:J11))+ABS(MAX(I11:J11)-MAX(I11:J11))</f>
        <v>0</v>
      </c>
    </row>
    <row r="24" spans="2:12" x14ac:dyDescent="0.25">
      <c r="B24" s="43" t="s">
        <v>53</v>
      </c>
      <c r="C24" s="8">
        <f t="shared" ref="C24:C26" si="7">ABS(MIN(C12:D12)-MIN(C5:D5))+ABS(MAX(C12:D12)-MAX(C5:D5))</f>
        <v>1</v>
      </c>
      <c r="D24" s="8">
        <f t="shared" ref="D24:D26" si="8">ABS(MIN(E12:F12)-MIN(E5:F5))+ABS(MAX(E12:F12)-MAX(E5:F5))</f>
        <v>1</v>
      </c>
      <c r="E24" s="8">
        <f t="shared" ref="E24:E26" si="9">ABS(MIN(G12:H12)-MIN(G5:H5))+ABS(MAX(G12:H12)-MAX(G5:H5))</f>
        <v>1</v>
      </c>
      <c r="F24" s="8">
        <f t="shared" ref="F24:F25" si="10">ABS(MIN(I12:J12)-MIN(I5:J5))+ABS(MAX(I12:J12)-MAX(I5:J5))</f>
        <v>1</v>
      </c>
      <c r="H24" s="43" t="s">
        <v>61</v>
      </c>
      <c r="I24" s="8">
        <f t="shared" ref="I24:I26" si="11">ABS(MIN(C12:D12)-MIN(C12:D12))+ABS(MAX(C12:D12)-MAX(C12:D12))</f>
        <v>0</v>
      </c>
      <c r="J24" s="8">
        <f t="shared" ref="J24:J26" si="12">ABS(MIN(E12:F12)-MIN(E12:F12))+ABS(MAX(E12:F12)-MAX(E12:F12))</f>
        <v>0</v>
      </c>
      <c r="K24" s="8">
        <f t="shared" ref="K24:K25" si="13">ABS(MIN(G12:H12)-MIN(G12:H12))+ABS(MAX(G12:H12)-MAX(G12:H12))</f>
        <v>0</v>
      </c>
      <c r="L24" s="8">
        <f t="shared" ref="L24:L25" si="14">ABS(MIN(I12:J12)-MIN(I12:J12))+ABS(MAX(I12:J12)-MAX(I12:J12))</f>
        <v>0</v>
      </c>
    </row>
    <row r="25" spans="2:12" x14ac:dyDescent="0.25">
      <c r="B25" s="43" t="s">
        <v>54</v>
      </c>
      <c r="C25" s="8">
        <f t="shared" si="7"/>
        <v>1</v>
      </c>
      <c r="D25" s="8">
        <f t="shared" si="8"/>
        <v>1</v>
      </c>
      <c r="E25" s="8">
        <f t="shared" si="9"/>
        <v>1</v>
      </c>
      <c r="F25" s="8">
        <f t="shared" si="10"/>
        <v>1</v>
      </c>
      <c r="H25" s="43" t="s">
        <v>62</v>
      </c>
      <c r="I25" s="8">
        <f t="shared" si="11"/>
        <v>0</v>
      </c>
      <c r="J25" s="8">
        <f t="shared" si="12"/>
        <v>0</v>
      </c>
      <c r="K25" s="8">
        <f t="shared" si="13"/>
        <v>0</v>
      </c>
      <c r="L25" s="8">
        <f t="shared" si="14"/>
        <v>0</v>
      </c>
    </row>
    <row r="26" spans="2:12" ht="15.75" thickBot="1" x14ac:dyDescent="0.3">
      <c r="B26" s="44" t="s">
        <v>55</v>
      </c>
      <c r="C26" s="8">
        <f t="shared" si="7"/>
        <v>3</v>
      </c>
      <c r="D26" s="8">
        <f t="shared" si="8"/>
        <v>2</v>
      </c>
      <c r="E26" s="8">
        <f t="shared" si="9"/>
        <v>1</v>
      </c>
      <c r="F26" s="8">
        <f>ABS(MIN(I14:J14)-MIN(I7:J7))+ABS(MAX(I14:J14)-MAX(I7:J7))</f>
        <v>4</v>
      </c>
      <c r="H26" s="44" t="s">
        <v>63</v>
      </c>
      <c r="I26" s="8">
        <f t="shared" si="11"/>
        <v>0</v>
      </c>
      <c r="J26" s="8">
        <f t="shared" si="12"/>
        <v>0</v>
      </c>
      <c r="K26" s="8">
        <f>ABS(MIN(G14:H14)-MIN(G14:H14))+ABS(MAX(G14:H14)-MAX(G14:H14))</f>
        <v>0</v>
      </c>
      <c r="L26" s="8">
        <f>ABS(MIN(I14:J14)-MIN(I14:J14))+ABS(MAX(I14:J14)-MAX(I14:J14))</f>
        <v>0</v>
      </c>
    </row>
    <row r="28" spans="2:12" ht="15.75" thickBot="1" x14ac:dyDescent="0.3"/>
    <row r="29" spans="2:12" x14ac:dyDescent="0.25">
      <c r="B29" s="28" t="s">
        <v>64</v>
      </c>
      <c r="C29" s="45" t="s">
        <v>65</v>
      </c>
      <c r="D29" s="45" t="s">
        <v>66</v>
      </c>
      <c r="E29" s="45" t="s">
        <v>67</v>
      </c>
      <c r="F29" s="45" t="s">
        <v>68</v>
      </c>
      <c r="G29" s="46" t="s">
        <v>69</v>
      </c>
    </row>
    <row r="30" spans="2:12" x14ac:dyDescent="0.25">
      <c r="B30" s="1" t="s">
        <v>1</v>
      </c>
      <c r="C30" s="17">
        <f>SUM(C17:F17,C23:F23)</f>
        <v>4</v>
      </c>
      <c r="D30" s="17">
        <f>SUM(I17:L17,I23:L23)</f>
        <v>4</v>
      </c>
      <c r="E30" s="17">
        <f>SUM(C30:D30)</f>
        <v>8</v>
      </c>
      <c r="F30" s="17">
        <f>C30/E30</f>
        <v>0.5</v>
      </c>
      <c r="G30" s="47">
        <f>D30/E30</f>
        <v>0.5</v>
      </c>
    </row>
    <row r="31" spans="2:12" x14ac:dyDescent="0.25">
      <c r="B31" s="1" t="s">
        <v>2</v>
      </c>
      <c r="C31" s="17">
        <f t="shared" ref="C31:C33" si="15">SUM(C18:F18,C24:F24)</f>
        <v>4</v>
      </c>
      <c r="D31" s="17">
        <f t="shared" ref="D31:D33" si="16">SUM(I18:L18,I24:L24)</f>
        <v>4</v>
      </c>
      <c r="E31" s="17">
        <f t="shared" ref="E31:E33" si="17">SUM(C31:D31)</f>
        <v>8</v>
      </c>
      <c r="F31" s="17">
        <f t="shared" ref="F31:F33" si="18">C31/E31</f>
        <v>0.5</v>
      </c>
      <c r="G31" s="47">
        <f t="shared" ref="G31:G33" si="19">D31/E31</f>
        <v>0.5</v>
      </c>
    </row>
    <row r="32" spans="2:12" x14ac:dyDescent="0.25">
      <c r="B32" s="1" t="s">
        <v>3</v>
      </c>
      <c r="C32" s="17">
        <f t="shared" si="15"/>
        <v>4</v>
      </c>
      <c r="D32" s="17">
        <f t="shared" si="16"/>
        <v>4</v>
      </c>
      <c r="E32" s="17">
        <f t="shared" si="17"/>
        <v>8</v>
      </c>
      <c r="F32" s="17">
        <f t="shared" si="18"/>
        <v>0.5</v>
      </c>
      <c r="G32" s="47">
        <f t="shared" si="19"/>
        <v>0.5</v>
      </c>
    </row>
    <row r="33" spans="2:30" ht="15.75" thickBot="1" x14ac:dyDescent="0.3">
      <c r="B33" s="2" t="s">
        <v>4</v>
      </c>
      <c r="C33" s="35">
        <f t="shared" si="15"/>
        <v>10</v>
      </c>
      <c r="D33" s="35">
        <f t="shared" si="16"/>
        <v>10</v>
      </c>
      <c r="E33" s="35">
        <f t="shared" si="17"/>
        <v>20</v>
      </c>
      <c r="F33" s="35">
        <f t="shared" si="18"/>
        <v>0.5</v>
      </c>
      <c r="G33" s="48">
        <f t="shared" si="19"/>
        <v>0.5</v>
      </c>
    </row>
    <row r="34" spans="2:30" ht="15.75" thickBot="1" x14ac:dyDescent="0.3"/>
    <row r="35" spans="2:30" x14ac:dyDescent="0.25">
      <c r="B35" s="49" t="s">
        <v>70</v>
      </c>
      <c r="C35" s="127" t="s">
        <v>5</v>
      </c>
      <c r="D35" s="128"/>
      <c r="E35" s="128"/>
      <c r="F35" s="128"/>
      <c r="G35" s="128"/>
      <c r="H35" s="128"/>
      <c r="I35" s="129"/>
      <c r="J35" s="127" t="s">
        <v>6</v>
      </c>
      <c r="K35" s="128"/>
      <c r="L35" s="128"/>
      <c r="M35" s="128"/>
      <c r="N35" s="128"/>
      <c r="O35" s="128"/>
      <c r="P35" s="129"/>
      <c r="Q35" s="127" t="s">
        <v>7</v>
      </c>
      <c r="R35" s="128"/>
      <c r="S35" s="128"/>
      <c r="T35" s="128"/>
      <c r="U35" s="128"/>
      <c r="V35" s="128"/>
      <c r="W35" s="129"/>
      <c r="X35" s="127" t="s">
        <v>8</v>
      </c>
      <c r="Y35" s="128"/>
      <c r="Z35" s="128"/>
      <c r="AA35" s="128"/>
      <c r="AB35" s="128"/>
      <c r="AC35" s="128"/>
      <c r="AD35" s="129"/>
    </row>
    <row r="36" spans="2:30" x14ac:dyDescent="0.25">
      <c r="B36" s="50" t="s">
        <v>1</v>
      </c>
      <c r="C36" s="51">
        <v>0</v>
      </c>
      <c r="D36" s="51">
        <v>0</v>
      </c>
      <c r="E36" s="51">
        <v>0</v>
      </c>
      <c r="F36" s="51">
        <v>0</v>
      </c>
      <c r="G36" s="51">
        <v>1</v>
      </c>
      <c r="H36" s="51">
        <v>0</v>
      </c>
      <c r="I36" s="51">
        <v>0</v>
      </c>
      <c r="J36" s="51">
        <v>1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1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1</v>
      </c>
      <c r="AB36" s="51">
        <v>0</v>
      </c>
      <c r="AC36" s="51">
        <v>0</v>
      </c>
      <c r="AD36" s="51">
        <v>0</v>
      </c>
    </row>
    <row r="37" spans="2:30" x14ac:dyDescent="0.25">
      <c r="B37" s="50" t="s">
        <v>2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1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1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1</v>
      </c>
    </row>
    <row r="38" spans="2:30" x14ac:dyDescent="0.25">
      <c r="B38" s="50" t="s">
        <v>3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1</v>
      </c>
      <c r="AC38" s="51">
        <v>0</v>
      </c>
      <c r="AD38" s="51">
        <v>0</v>
      </c>
    </row>
    <row r="39" spans="2:30" x14ac:dyDescent="0.25">
      <c r="B39" s="50" t="s">
        <v>4</v>
      </c>
      <c r="C39" s="51">
        <v>0</v>
      </c>
      <c r="D39" s="51">
        <v>0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1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1</v>
      </c>
      <c r="AB39" s="51">
        <v>0</v>
      </c>
      <c r="AC39" s="51">
        <v>0</v>
      </c>
      <c r="AD39" s="51">
        <v>0</v>
      </c>
    </row>
    <row r="40" spans="2:30" x14ac:dyDescent="0.25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 ht="15.75" thickBot="1" x14ac:dyDescent="0.3">
      <c r="B41" s="52"/>
      <c r="C41" s="19">
        <v>0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0</v>
      </c>
      <c r="K41" s="19">
        <v>1</v>
      </c>
      <c r="L41" s="19">
        <v>2</v>
      </c>
      <c r="M41" s="19">
        <v>3</v>
      </c>
      <c r="N41" s="19">
        <v>4</v>
      </c>
      <c r="O41" s="19">
        <v>5</v>
      </c>
      <c r="P41" s="19">
        <v>6</v>
      </c>
      <c r="Q41" s="19">
        <v>0</v>
      </c>
      <c r="R41" s="19">
        <v>1</v>
      </c>
      <c r="S41" s="19">
        <v>2</v>
      </c>
      <c r="T41" s="19">
        <v>3</v>
      </c>
      <c r="U41" s="19">
        <v>4</v>
      </c>
      <c r="V41" s="19">
        <v>5</v>
      </c>
      <c r="W41" s="19">
        <v>6</v>
      </c>
      <c r="X41" s="19">
        <v>0</v>
      </c>
      <c r="Y41" s="19">
        <v>1</v>
      </c>
      <c r="Z41" s="19">
        <v>2</v>
      </c>
      <c r="AA41" s="19">
        <v>3</v>
      </c>
      <c r="AB41" s="19">
        <v>4</v>
      </c>
      <c r="AC41" s="19">
        <v>5</v>
      </c>
      <c r="AD41" s="19">
        <v>6</v>
      </c>
    </row>
    <row r="42" spans="2:30" x14ac:dyDescent="0.25">
      <c r="B42" s="49" t="s">
        <v>71</v>
      </c>
      <c r="C42" s="127" t="s">
        <v>5</v>
      </c>
      <c r="D42" s="128"/>
      <c r="E42" s="128"/>
      <c r="F42" s="128"/>
      <c r="G42" s="128"/>
      <c r="H42" s="128"/>
      <c r="I42" s="129"/>
      <c r="J42" s="127" t="s">
        <v>6</v>
      </c>
      <c r="K42" s="128"/>
      <c r="L42" s="128"/>
      <c r="M42" s="128"/>
      <c r="N42" s="128"/>
      <c r="O42" s="128"/>
      <c r="P42" s="129"/>
      <c r="Q42" s="127" t="s">
        <v>7</v>
      </c>
      <c r="R42" s="128"/>
      <c r="S42" s="128"/>
      <c r="T42" s="128"/>
      <c r="U42" s="128"/>
      <c r="V42" s="128"/>
      <c r="W42" s="129"/>
      <c r="X42" s="127" t="s">
        <v>8</v>
      </c>
      <c r="Y42" s="128"/>
      <c r="Z42" s="128"/>
      <c r="AA42" s="128"/>
      <c r="AB42" s="128"/>
      <c r="AC42" s="128"/>
      <c r="AD42" s="129"/>
    </row>
    <row r="43" spans="2:30" x14ac:dyDescent="0.25">
      <c r="B43" s="50" t="s">
        <v>1</v>
      </c>
      <c r="C43" s="51">
        <v>0</v>
      </c>
      <c r="D43" s="51">
        <v>0</v>
      </c>
      <c r="E43" s="51">
        <v>0</v>
      </c>
      <c r="F43" s="51">
        <v>0.5</v>
      </c>
      <c r="G43" s="51">
        <v>0.5</v>
      </c>
      <c r="H43" s="51">
        <v>0</v>
      </c>
      <c r="I43" s="51">
        <v>0</v>
      </c>
      <c r="J43" s="51">
        <v>0.5</v>
      </c>
      <c r="K43" s="51">
        <v>0.5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0.5</v>
      </c>
      <c r="T43" s="51">
        <v>0.5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0.5</v>
      </c>
      <c r="AA43" s="51">
        <v>0.5</v>
      </c>
      <c r="AB43" s="51">
        <v>0</v>
      </c>
      <c r="AC43" s="51">
        <v>0</v>
      </c>
      <c r="AD43" s="51">
        <v>0</v>
      </c>
    </row>
    <row r="44" spans="2:30" x14ac:dyDescent="0.25">
      <c r="B44" s="50" t="s">
        <v>2</v>
      </c>
      <c r="C44" s="51">
        <v>0</v>
      </c>
      <c r="D44" s="51">
        <v>0</v>
      </c>
      <c r="E44" s="51">
        <v>0</v>
      </c>
      <c r="F44" s="51">
        <v>0</v>
      </c>
      <c r="G44" s="51">
        <v>0.5</v>
      </c>
      <c r="H44" s="51">
        <v>0.5</v>
      </c>
      <c r="I44" s="51">
        <v>0</v>
      </c>
      <c r="J44" s="51">
        <v>0</v>
      </c>
      <c r="K44" s="51">
        <v>0.5</v>
      </c>
      <c r="L44" s="51">
        <v>0.5</v>
      </c>
      <c r="M44" s="51">
        <v>0</v>
      </c>
      <c r="N44" s="51">
        <v>0</v>
      </c>
      <c r="O44" s="51">
        <v>0</v>
      </c>
      <c r="P44" s="51">
        <v>0</v>
      </c>
      <c r="Q44" s="51">
        <v>0.5</v>
      </c>
      <c r="R44" s="51">
        <v>0.5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0.5</v>
      </c>
      <c r="AD44" s="51">
        <v>0.5</v>
      </c>
    </row>
    <row r="45" spans="2:30" x14ac:dyDescent="0.25">
      <c r="B45" s="50" t="s">
        <v>3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0.5</v>
      </c>
      <c r="I45" s="51">
        <v>0.5</v>
      </c>
      <c r="J45" s="51">
        <v>0</v>
      </c>
      <c r="K45" s="51">
        <v>0</v>
      </c>
      <c r="L45" s="51">
        <v>0.5</v>
      </c>
      <c r="M45" s="51">
        <v>0.5</v>
      </c>
      <c r="N45" s="51">
        <v>0</v>
      </c>
      <c r="O45" s="51">
        <v>0</v>
      </c>
      <c r="P45" s="51">
        <v>0</v>
      </c>
      <c r="Q45" s="51">
        <v>0.5</v>
      </c>
      <c r="R45" s="51">
        <v>0.5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0.5</v>
      </c>
      <c r="AC45" s="51">
        <v>0.5</v>
      </c>
      <c r="AD45" s="51">
        <v>0</v>
      </c>
    </row>
    <row r="46" spans="2:30" x14ac:dyDescent="0.25">
      <c r="B46" s="50" t="s">
        <v>4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0.5</v>
      </c>
      <c r="I46" s="51">
        <v>0.5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0.5</v>
      </c>
      <c r="T46" s="51">
        <v>0.5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1</v>
      </c>
      <c r="AD46" s="51">
        <v>0</v>
      </c>
    </row>
    <row r="47" spans="2:30" ht="15.75" thickBot="1" x14ac:dyDescent="0.3"/>
    <row r="48" spans="2:30" x14ac:dyDescent="0.25">
      <c r="B48" s="54"/>
      <c r="C48" s="127" t="s">
        <v>5</v>
      </c>
      <c r="D48" s="128"/>
      <c r="E48" s="128"/>
      <c r="F48" s="128"/>
      <c r="G48" s="128"/>
      <c r="H48" s="128"/>
      <c r="I48" s="129"/>
      <c r="J48" s="127" t="s">
        <v>6</v>
      </c>
      <c r="K48" s="128"/>
      <c r="L48" s="128"/>
      <c r="M48" s="128"/>
      <c r="N48" s="128"/>
      <c r="O48" s="128"/>
      <c r="P48" s="129"/>
      <c r="Q48" s="127" t="s">
        <v>7</v>
      </c>
      <c r="R48" s="128"/>
      <c r="S48" s="128"/>
      <c r="T48" s="128"/>
      <c r="U48" s="128"/>
      <c r="V48" s="128"/>
      <c r="W48" s="129"/>
      <c r="X48" s="127" t="s">
        <v>8</v>
      </c>
      <c r="Y48" s="128"/>
      <c r="Z48" s="128"/>
      <c r="AA48" s="128"/>
      <c r="AB48" s="128"/>
      <c r="AC48" s="128"/>
      <c r="AD48" s="129"/>
    </row>
    <row r="49" spans="2:30" x14ac:dyDescent="0.25">
      <c r="B49" s="55" t="s">
        <v>1</v>
      </c>
      <c r="C49" s="56">
        <f>SUM(C36*$F$30,C43*$G$30)</f>
        <v>0</v>
      </c>
      <c r="D49" s="56">
        <f t="shared" ref="D49:AD51" si="20">SUM(D36*$F$30,D43*$G$30)</f>
        <v>0</v>
      </c>
      <c r="E49" s="56">
        <f t="shared" si="20"/>
        <v>0</v>
      </c>
      <c r="F49" s="56">
        <f t="shared" si="20"/>
        <v>0.25</v>
      </c>
      <c r="G49" s="56">
        <f>SUM(G36*$F$30,G43*$G$30)</f>
        <v>0.75</v>
      </c>
      <c r="H49" s="56">
        <f t="shared" si="20"/>
        <v>0</v>
      </c>
      <c r="I49" s="56">
        <f t="shared" si="20"/>
        <v>0</v>
      </c>
      <c r="J49" s="56">
        <f t="shared" si="20"/>
        <v>0.75</v>
      </c>
      <c r="K49" s="56">
        <f t="shared" si="20"/>
        <v>0.25</v>
      </c>
      <c r="L49" s="56">
        <f t="shared" si="20"/>
        <v>0</v>
      </c>
      <c r="M49" s="56">
        <f t="shared" si="20"/>
        <v>0</v>
      </c>
      <c r="N49" s="56">
        <f t="shared" si="20"/>
        <v>0</v>
      </c>
      <c r="O49" s="56">
        <f t="shared" si="20"/>
        <v>0</v>
      </c>
      <c r="P49" s="56">
        <f t="shared" si="20"/>
        <v>0</v>
      </c>
      <c r="Q49" s="56">
        <f t="shared" si="20"/>
        <v>0</v>
      </c>
      <c r="R49" s="56">
        <f t="shared" si="20"/>
        <v>0</v>
      </c>
      <c r="S49" s="56">
        <f t="shared" si="20"/>
        <v>0.75</v>
      </c>
      <c r="T49" s="56">
        <f t="shared" si="20"/>
        <v>0.25</v>
      </c>
      <c r="U49" s="56">
        <f t="shared" si="20"/>
        <v>0</v>
      </c>
      <c r="V49" s="56">
        <f t="shared" si="20"/>
        <v>0</v>
      </c>
      <c r="W49" s="56">
        <f t="shared" si="20"/>
        <v>0</v>
      </c>
      <c r="X49" s="56">
        <f t="shared" si="20"/>
        <v>0</v>
      </c>
      <c r="Y49" s="56">
        <f t="shared" si="20"/>
        <v>0</v>
      </c>
      <c r="Z49" s="56">
        <f t="shared" si="20"/>
        <v>0.25</v>
      </c>
      <c r="AA49" s="56">
        <f t="shared" si="20"/>
        <v>0.75</v>
      </c>
      <c r="AB49" s="56">
        <f t="shared" si="20"/>
        <v>0</v>
      </c>
      <c r="AC49" s="56">
        <f t="shared" si="20"/>
        <v>0</v>
      </c>
      <c r="AD49" s="56">
        <f t="shared" si="20"/>
        <v>0</v>
      </c>
    </row>
    <row r="50" spans="2:30" x14ac:dyDescent="0.25">
      <c r="B50" s="55" t="s">
        <v>2</v>
      </c>
      <c r="C50" s="56">
        <f t="shared" ref="C50:R51" si="21">SUM(C37*$F$30,C44*$G$30)</f>
        <v>0</v>
      </c>
      <c r="D50" s="56">
        <f t="shared" si="21"/>
        <v>0</v>
      </c>
      <c r="E50" s="56">
        <f t="shared" si="21"/>
        <v>0</v>
      </c>
      <c r="F50" s="56">
        <f t="shared" si="21"/>
        <v>0</v>
      </c>
      <c r="G50" s="56">
        <f t="shared" si="21"/>
        <v>0.25</v>
      </c>
      <c r="H50" s="56">
        <f t="shared" si="21"/>
        <v>0.75</v>
      </c>
      <c r="I50" s="56">
        <f t="shared" si="21"/>
        <v>0</v>
      </c>
      <c r="J50" s="56">
        <f t="shared" si="21"/>
        <v>0</v>
      </c>
      <c r="K50" s="56">
        <f t="shared" si="21"/>
        <v>0.75</v>
      </c>
      <c r="L50" s="56">
        <f t="shared" si="21"/>
        <v>0.25</v>
      </c>
      <c r="M50" s="56">
        <f t="shared" si="21"/>
        <v>0</v>
      </c>
      <c r="N50" s="56">
        <f t="shared" si="21"/>
        <v>0</v>
      </c>
      <c r="O50" s="56">
        <f t="shared" si="21"/>
        <v>0</v>
      </c>
      <c r="P50" s="56">
        <f t="shared" si="21"/>
        <v>0</v>
      </c>
      <c r="Q50" s="56">
        <f t="shared" si="21"/>
        <v>0.75</v>
      </c>
      <c r="R50" s="56">
        <f t="shared" si="21"/>
        <v>0.25</v>
      </c>
      <c r="S50" s="56">
        <f t="shared" si="20"/>
        <v>0</v>
      </c>
      <c r="T50" s="56">
        <f t="shared" si="20"/>
        <v>0</v>
      </c>
      <c r="U50" s="56">
        <f t="shared" si="20"/>
        <v>0</v>
      </c>
      <c r="V50" s="56">
        <f>SUM(V37*$F$30,V44*$G$30)</f>
        <v>0</v>
      </c>
      <c r="W50" s="56">
        <f t="shared" si="20"/>
        <v>0</v>
      </c>
      <c r="X50" s="56">
        <f t="shared" si="20"/>
        <v>0</v>
      </c>
      <c r="Y50" s="56">
        <f t="shared" si="20"/>
        <v>0</v>
      </c>
      <c r="Z50" s="56">
        <f t="shared" si="20"/>
        <v>0</v>
      </c>
      <c r="AA50" s="56">
        <f t="shared" si="20"/>
        <v>0</v>
      </c>
      <c r="AB50" s="56">
        <f t="shared" si="20"/>
        <v>0</v>
      </c>
      <c r="AC50" s="56">
        <f t="shared" si="20"/>
        <v>0.25</v>
      </c>
      <c r="AD50" s="56">
        <f t="shared" si="20"/>
        <v>0.75</v>
      </c>
    </row>
    <row r="51" spans="2:30" x14ac:dyDescent="0.25">
      <c r="B51" s="55" t="s">
        <v>3</v>
      </c>
      <c r="C51" s="56">
        <f t="shared" si="21"/>
        <v>0</v>
      </c>
      <c r="D51" s="56">
        <f t="shared" si="20"/>
        <v>0</v>
      </c>
      <c r="E51" s="56">
        <f t="shared" si="20"/>
        <v>0</v>
      </c>
      <c r="F51" s="56">
        <f t="shared" si="20"/>
        <v>0</v>
      </c>
      <c r="G51" s="56">
        <f t="shared" si="20"/>
        <v>0</v>
      </c>
      <c r="H51" s="56">
        <f t="shared" si="20"/>
        <v>0.25</v>
      </c>
      <c r="I51" s="56">
        <f t="shared" si="20"/>
        <v>0.75</v>
      </c>
      <c r="J51" s="56">
        <f t="shared" si="20"/>
        <v>0</v>
      </c>
      <c r="K51" s="56">
        <f t="shared" si="20"/>
        <v>0</v>
      </c>
      <c r="L51" s="56">
        <f t="shared" si="20"/>
        <v>0.75</v>
      </c>
      <c r="M51" s="56">
        <f t="shared" si="20"/>
        <v>0.25</v>
      </c>
      <c r="N51" s="56">
        <f t="shared" si="20"/>
        <v>0</v>
      </c>
      <c r="O51" s="56">
        <f t="shared" si="20"/>
        <v>0</v>
      </c>
      <c r="P51" s="56">
        <f t="shared" si="20"/>
        <v>0</v>
      </c>
      <c r="Q51" s="56">
        <f t="shared" si="20"/>
        <v>0.25</v>
      </c>
      <c r="R51" s="56">
        <f t="shared" si="20"/>
        <v>0.75</v>
      </c>
      <c r="S51" s="56">
        <f t="shared" si="20"/>
        <v>0</v>
      </c>
      <c r="T51" s="56">
        <f t="shared" si="20"/>
        <v>0</v>
      </c>
      <c r="U51" s="56">
        <f t="shared" si="20"/>
        <v>0</v>
      </c>
      <c r="V51" s="56">
        <f t="shared" si="20"/>
        <v>0</v>
      </c>
      <c r="W51" s="56">
        <f t="shared" si="20"/>
        <v>0</v>
      </c>
      <c r="X51" s="56">
        <f t="shared" si="20"/>
        <v>0</v>
      </c>
      <c r="Y51" s="56">
        <f t="shared" si="20"/>
        <v>0</v>
      </c>
      <c r="Z51" s="56">
        <f t="shared" si="20"/>
        <v>0</v>
      </c>
      <c r="AA51" s="56">
        <f t="shared" si="20"/>
        <v>0</v>
      </c>
      <c r="AB51" s="56">
        <f t="shared" si="20"/>
        <v>0.75</v>
      </c>
      <c r="AC51" s="56">
        <f t="shared" si="20"/>
        <v>0.25</v>
      </c>
      <c r="AD51" s="56">
        <f>SUM(AD38*$F$30,AD45*$G$30)</f>
        <v>0</v>
      </c>
    </row>
    <row r="52" spans="2:30" x14ac:dyDescent="0.25">
      <c r="B52" s="55" t="s">
        <v>4</v>
      </c>
      <c r="C52" s="56">
        <f>SUM(C39*$F$30,C46*$G$30)</f>
        <v>0</v>
      </c>
      <c r="D52" s="56">
        <f t="shared" ref="D52:AD52" si="22">SUM(D39*$F$30,D46*$G$30)</f>
        <v>0</v>
      </c>
      <c r="E52" s="56">
        <f t="shared" si="22"/>
        <v>0</v>
      </c>
      <c r="F52" s="56">
        <f t="shared" si="22"/>
        <v>0</v>
      </c>
      <c r="G52" s="56">
        <f t="shared" si="22"/>
        <v>0.5</v>
      </c>
      <c r="H52" s="56">
        <f t="shared" si="22"/>
        <v>0.25</v>
      </c>
      <c r="I52" s="56">
        <f t="shared" si="22"/>
        <v>0.25</v>
      </c>
      <c r="J52" s="56">
        <f t="shared" si="22"/>
        <v>0</v>
      </c>
      <c r="K52" s="56">
        <f t="shared" si="22"/>
        <v>0.5</v>
      </c>
      <c r="L52" s="56">
        <f t="shared" si="22"/>
        <v>0.5</v>
      </c>
      <c r="M52" s="56">
        <f t="shared" si="22"/>
        <v>0</v>
      </c>
      <c r="N52" s="56">
        <f t="shared" si="22"/>
        <v>0</v>
      </c>
      <c r="O52" s="56">
        <f t="shared" si="22"/>
        <v>0</v>
      </c>
      <c r="P52" s="56">
        <f t="shared" si="22"/>
        <v>0</v>
      </c>
      <c r="Q52" s="56">
        <f t="shared" si="22"/>
        <v>0</v>
      </c>
      <c r="R52" s="56">
        <f t="shared" si="22"/>
        <v>0</v>
      </c>
      <c r="S52" s="56">
        <f t="shared" si="22"/>
        <v>0.75</v>
      </c>
      <c r="T52" s="56">
        <f t="shared" si="22"/>
        <v>0.25</v>
      </c>
      <c r="U52" s="56">
        <f t="shared" si="22"/>
        <v>0</v>
      </c>
      <c r="V52" s="56">
        <f t="shared" si="22"/>
        <v>0</v>
      </c>
      <c r="W52" s="56">
        <f t="shared" si="22"/>
        <v>0</v>
      </c>
      <c r="X52" s="56">
        <f t="shared" si="22"/>
        <v>0</v>
      </c>
      <c r="Y52" s="56">
        <f t="shared" si="22"/>
        <v>0</v>
      </c>
      <c r="Z52" s="56">
        <f t="shared" si="22"/>
        <v>0</v>
      </c>
      <c r="AA52" s="56">
        <f t="shared" si="22"/>
        <v>0.5</v>
      </c>
      <c r="AB52" s="56">
        <f t="shared" si="22"/>
        <v>0</v>
      </c>
      <c r="AC52" s="56">
        <f t="shared" si="22"/>
        <v>0.5</v>
      </c>
      <c r="AD52" s="56">
        <f t="shared" si="22"/>
        <v>0</v>
      </c>
    </row>
    <row r="53" spans="2:30" ht="15.75" thickBot="1" x14ac:dyDescent="0.3"/>
    <row r="54" spans="2:30" ht="15.75" thickBot="1" x14ac:dyDescent="0.3">
      <c r="C54" s="18"/>
      <c r="D54" s="57" t="s">
        <v>72</v>
      </c>
      <c r="E54" s="58"/>
      <c r="F54" s="58"/>
      <c r="G54" s="58"/>
      <c r="I54" s="81"/>
      <c r="J54" s="15"/>
      <c r="L54" s="62" t="s">
        <v>76</v>
      </c>
      <c r="M54" s="22" t="s">
        <v>77</v>
      </c>
      <c r="N54" s="22" t="s">
        <v>78</v>
      </c>
      <c r="O54" s="22" t="s">
        <v>79</v>
      </c>
      <c r="P54" s="22" t="s">
        <v>80</v>
      </c>
      <c r="Q54" s="22" t="s">
        <v>81</v>
      </c>
      <c r="R54" s="22" t="s">
        <v>82</v>
      </c>
      <c r="S54" s="23" t="s">
        <v>83</v>
      </c>
    </row>
    <row r="55" spans="2:30" ht="15.75" thickBot="1" x14ac:dyDescent="0.3">
      <c r="C55" s="52"/>
      <c r="D55" s="100" t="s">
        <v>5</v>
      </c>
      <c r="E55" s="69" t="s">
        <v>6</v>
      </c>
      <c r="F55" s="69" t="s">
        <v>7</v>
      </c>
      <c r="G55" s="70" t="s">
        <v>8</v>
      </c>
      <c r="I55" s="61"/>
      <c r="J55" s="15"/>
      <c r="L55" s="63" t="s">
        <v>84</v>
      </c>
      <c r="M55" s="64">
        <v>0</v>
      </c>
      <c r="N55" s="64">
        <v>1</v>
      </c>
      <c r="O55" s="64">
        <v>2</v>
      </c>
      <c r="P55" s="64">
        <v>3</v>
      </c>
      <c r="Q55" s="64">
        <v>4</v>
      </c>
      <c r="R55" s="64">
        <v>5</v>
      </c>
      <c r="S55" s="65">
        <v>6</v>
      </c>
    </row>
    <row r="56" spans="2:30" x14ac:dyDescent="0.25">
      <c r="C56" s="50" t="s">
        <v>1</v>
      </c>
      <c r="D56" s="109">
        <f>SUMPRODUCT(C49:I49,$C$41:$I$41)</f>
        <v>3.75</v>
      </c>
      <c r="E56" s="110">
        <f>SUMPRODUCT(J49:P49,$C$41:$I$41)</f>
        <v>0.25</v>
      </c>
      <c r="F56" s="110">
        <f>SUMPRODUCT(Q49:W49,$C$41:$I$41)</f>
        <v>2.25</v>
      </c>
      <c r="G56" s="111">
        <f>SUMPRODUCT(X49:AD49,$C$41:$I$41)</f>
        <v>2.75</v>
      </c>
      <c r="I56" s="81"/>
      <c r="J56" s="15"/>
    </row>
    <row r="57" spans="2:30" x14ac:dyDescent="0.25">
      <c r="C57" s="50" t="s">
        <v>2</v>
      </c>
      <c r="D57" s="59">
        <f t="shared" ref="D57:D59" si="23">SUMPRODUCT(C50:I50,$C$41:$I$41)</f>
        <v>4.75</v>
      </c>
      <c r="E57" s="108">
        <f t="shared" ref="E57:E59" si="24">SUMPRODUCT(J50:P50,$C$41:$I$41)</f>
        <v>1.25</v>
      </c>
      <c r="F57" s="108">
        <f t="shared" ref="F57:F59" si="25">SUMPRODUCT(Q50:W50,$C$41:$I$41)</f>
        <v>0.25</v>
      </c>
      <c r="G57" s="112">
        <f t="shared" ref="G57" si="26">SUMPRODUCT(X50:AD50,$C$41:$I$41)</f>
        <v>5.75</v>
      </c>
      <c r="I57" s="81"/>
      <c r="J57" s="15"/>
    </row>
    <row r="58" spans="2:30" x14ac:dyDescent="0.25">
      <c r="C58" s="50" t="s">
        <v>3</v>
      </c>
      <c r="D58" s="59">
        <f t="shared" si="23"/>
        <v>5.75</v>
      </c>
      <c r="E58" s="108">
        <f t="shared" si="24"/>
        <v>2.25</v>
      </c>
      <c r="F58" s="108">
        <f t="shared" si="25"/>
        <v>0.75</v>
      </c>
      <c r="G58" s="112">
        <f>SUMPRODUCT(X51:AD51,$C$41:$I$41)</f>
        <v>4.25</v>
      </c>
      <c r="I58" s="81"/>
      <c r="J58" s="15"/>
    </row>
    <row r="59" spans="2:30" ht="15.75" thickBot="1" x14ac:dyDescent="0.3">
      <c r="C59" s="50" t="s">
        <v>4</v>
      </c>
      <c r="D59" s="113">
        <f t="shared" si="23"/>
        <v>4.75</v>
      </c>
      <c r="E59" s="114">
        <f t="shared" si="24"/>
        <v>1.5</v>
      </c>
      <c r="F59" s="114">
        <f t="shared" si="25"/>
        <v>2.25</v>
      </c>
      <c r="G59" s="115">
        <f>SUMPRODUCT(X52:AD52,$C$41:$I$41)</f>
        <v>4</v>
      </c>
    </row>
    <row r="60" spans="2:30" ht="15.75" thickBot="1" x14ac:dyDescent="0.3">
      <c r="C60" s="18"/>
      <c r="D60" s="60">
        <f>COUNTIF(D56:D59,MAX(D56:D59))</f>
        <v>1</v>
      </c>
      <c r="E60" s="60">
        <f t="shared" ref="E60:G60" si="27">COUNTIF(E56:E59,MAX(E56:E59))</f>
        <v>1</v>
      </c>
      <c r="F60" s="60">
        <f t="shared" si="27"/>
        <v>2</v>
      </c>
      <c r="G60" s="60">
        <f t="shared" si="27"/>
        <v>1</v>
      </c>
    </row>
    <row r="61" spans="2:30" x14ac:dyDescent="0.25">
      <c r="C61" s="54"/>
      <c r="D61" s="60">
        <f>COUNTIF(D56:D59,MIN(D56:D59))</f>
        <v>1</v>
      </c>
      <c r="E61" s="60">
        <f t="shared" ref="E61:G61" si="28">COUNTIF(E56:E59,MIN(E56:E59))</f>
        <v>1</v>
      </c>
      <c r="F61" s="60">
        <f t="shared" si="28"/>
        <v>1</v>
      </c>
      <c r="G61" s="60">
        <f t="shared" si="28"/>
        <v>1</v>
      </c>
      <c r="I61" s="83" t="s">
        <v>75</v>
      </c>
      <c r="J61" s="45" t="s">
        <v>5</v>
      </c>
      <c r="K61" s="45" t="s">
        <v>6</v>
      </c>
      <c r="L61" s="45" t="s">
        <v>7</v>
      </c>
      <c r="M61" s="46" t="s">
        <v>8</v>
      </c>
    </row>
    <row r="62" spans="2:30" ht="15.75" thickBot="1" x14ac:dyDescent="0.3">
      <c r="C62" s="57" t="s">
        <v>73</v>
      </c>
      <c r="D62" s="58"/>
      <c r="E62" s="58"/>
      <c r="F62" s="58"/>
      <c r="G62" s="58"/>
      <c r="I62" s="2"/>
      <c r="J62" s="35">
        <v>0.25</v>
      </c>
      <c r="K62" s="35">
        <v>0.25</v>
      </c>
      <c r="L62" s="35">
        <v>0.25</v>
      </c>
      <c r="M62" s="48">
        <v>0.25</v>
      </c>
    </row>
    <row r="63" spans="2:30" ht="15.75" thickBot="1" x14ac:dyDescent="0.3">
      <c r="C63" s="52"/>
      <c r="D63" s="100" t="s">
        <v>5</v>
      </c>
      <c r="E63" s="69" t="s">
        <v>6</v>
      </c>
      <c r="F63" s="69" t="s">
        <v>7</v>
      </c>
      <c r="G63" s="70" t="s">
        <v>8</v>
      </c>
    </row>
    <row r="64" spans="2:30" x14ac:dyDescent="0.25">
      <c r="C64" s="50" t="s">
        <v>1</v>
      </c>
      <c r="D64" s="101">
        <f>SUM(($M$55-D56)^2*C49,($N$55-D56)^2*D49,($O$55-D56)^2*E49,($P$55-D56)^2*F49,($Q$55-D56)^2*G49,($R$55-D56)^2*H49,($S$55-D56)^2*I49)</f>
        <v>0.1875</v>
      </c>
      <c r="E64" s="102">
        <f>SUM(($M$55-E56)^2*J49,($N$55-E56)^2*K49,($O$55-E56)^2*L49,($P$55-E56)^2*M49,($Q$55-E56)^2*N49,($R$55-E56)^2*O49,($S$55-E56)^2*P49)</f>
        <v>0.1875</v>
      </c>
      <c r="F64" s="102">
        <f>SUM(($M$55-F56)^2*Q49,($N$55-F56)^2*R49,($O$55-F56)^2*S49,($P$55-F56)^2*T49,($Q$55-F56)^2*U49,($R$55-F56)^2*V49,($S$55-F56)^2*W49)</f>
        <v>0.1875</v>
      </c>
      <c r="G64" s="103">
        <f>SUM(($M$55-G56)^2*X49,($N$55-G56)^2*Y49,($O$55-G56)^2*Z49,($P$55-G56)^2*AA49,($Q$55-G56)^2*AB49,($R$55-G56)^2*AC49,($S$55-G56)^2*AD49)</f>
        <v>0.1875</v>
      </c>
    </row>
    <row r="65" spans="2:30" x14ac:dyDescent="0.25">
      <c r="C65" s="50" t="s">
        <v>2</v>
      </c>
      <c r="D65" s="56">
        <f t="shared" ref="D65:D66" si="29">SUM(($M$55-D57)^2*C50,($N$55-D57)^2*D50,($O$55-D57)^2*E50,($P$55-D57)^2*F50,($Q$55-D57)^2*G50,($R$55-D57)^2*H50,($S$55-D57)^2*I50)</f>
        <v>0.1875</v>
      </c>
      <c r="E65" s="99">
        <f t="shared" ref="E65:E67" si="30">SUM(($M$55-E57)^2*J50,($N$55-E57)^2*K50,($O$55-E57)^2*L50,($P$55-E57)^2*M50,($Q$55-E57)^2*N50,($R$55-E57)^2*O50,($S$55-E57)^2*P50)</f>
        <v>0.1875</v>
      </c>
      <c r="F65" s="99">
        <f t="shared" ref="F65:F67" si="31">SUM(($M$55-F57)^2*Q50,($N$55-F57)^2*R50,($O$55-F57)^2*S50,($P$55-F57)^2*T50,($Q$55-F57)^2*U50,($R$55-F57)^2*V50,($S$55-F57)^2*W50)</f>
        <v>0.1875</v>
      </c>
      <c r="G65" s="104">
        <f t="shared" ref="G65:G67" si="32">SUM(($M$55-G57)^2*X50,($N$55-G57)^2*Y50,($O$55-G57)^2*Z50,($P$55-G57)^2*AA50,($Q$55-G57)^2*AB50,($R$55-G57)^2*AC50,($S$55-G57)^2*AD50)</f>
        <v>0.1875</v>
      </c>
    </row>
    <row r="66" spans="2:30" x14ac:dyDescent="0.25">
      <c r="C66" s="50" t="s">
        <v>3</v>
      </c>
      <c r="D66" s="56">
        <f t="shared" si="29"/>
        <v>0.1875</v>
      </c>
      <c r="E66" s="99">
        <f t="shared" si="30"/>
        <v>0.1875</v>
      </c>
      <c r="F66" s="99">
        <f t="shared" si="31"/>
        <v>0.1875</v>
      </c>
      <c r="G66" s="104">
        <f t="shared" si="32"/>
        <v>0.1875</v>
      </c>
    </row>
    <row r="67" spans="2:30" ht="15.75" thickBot="1" x14ac:dyDescent="0.3">
      <c r="C67" s="50" t="s">
        <v>4</v>
      </c>
      <c r="D67" s="105">
        <f>SUM(($M$55-D59)^2*C52,($N$55-D59)^2*D52,($O$55-D59)^2*E52,($P$55-D59)^2*F52,($Q$55-D59)^2*G52,($R$55-D59)^2*H52,($S$55-D59)^2*I52)</f>
        <v>0.6875</v>
      </c>
      <c r="E67" s="106">
        <f t="shared" si="30"/>
        <v>0.25</v>
      </c>
      <c r="F67" s="106">
        <f t="shared" si="31"/>
        <v>0.1875</v>
      </c>
      <c r="G67" s="107">
        <f t="shared" si="32"/>
        <v>1</v>
      </c>
    </row>
    <row r="68" spans="2:30" ht="15.75" thickBot="1" x14ac:dyDescent="0.3"/>
    <row r="69" spans="2:30" ht="15.75" thickBot="1" x14ac:dyDescent="0.3">
      <c r="B69" s="66" t="s">
        <v>85</v>
      </c>
      <c r="C69" s="134" t="s">
        <v>5</v>
      </c>
      <c r="D69" s="134"/>
      <c r="E69" s="134"/>
      <c r="F69" s="134"/>
      <c r="G69" s="134"/>
      <c r="H69" s="134"/>
      <c r="I69" s="134"/>
      <c r="J69" s="134" t="s">
        <v>6</v>
      </c>
      <c r="K69" s="134"/>
      <c r="L69" s="134"/>
      <c r="M69" s="134"/>
      <c r="N69" s="134"/>
      <c r="O69" s="134"/>
      <c r="P69" s="134"/>
      <c r="Q69" s="134" t="s">
        <v>7</v>
      </c>
      <c r="R69" s="134"/>
      <c r="S69" s="134"/>
      <c r="T69" s="134"/>
      <c r="U69" s="134"/>
      <c r="V69" s="134"/>
      <c r="W69" s="134"/>
      <c r="X69" s="134" t="s">
        <v>8</v>
      </c>
      <c r="Y69" s="134"/>
      <c r="Z69" s="134"/>
      <c r="AA69" s="134"/>
      <c r="AB69" s="134"/>
      <c r="AC69" s="134"/>
      <c r="AD69" s="135"/>
    </row>
    <row r="70" spans="2:30" x14ac:dyDescent="0.25">
      <c r="B70" s="67" t="s">
        <v>86</v>
      </c>
      <c r="C70" s="71">
        <f>C51</f>
        <v>0</v>
      </c>
      <c r="D70" s="84">
        <f t="shared" ref="D70:I70" si="33">D51</f>
        <v>0</v>
      </c>
      <c r="E70" s="84">
        <f t="shared" si="33"/>
        <v>0</v>
      </c>
      <c r="F70" s="84">
        <f t="shared" si="33"/>
        <v>0</v>
      </c>
      <c r="G70" s="84">
        <f t="shared" si="33"/>
        <v>0</v>
      </c>
      <c r="H70" s="84">
        <f t="shared" si="33"/>
        <v>0.25</v>
      </c>
      <c r="I70" s="84">
        <f t="shared" si="33"/>
        <v>0.75</v>
      </c>
      <c r="J70" s="84">
        <f>J51</f>
        <v>0</v>
      </c>
      <c r="K70" s="84">
        <f t="shared" ref="K70:P70" si="34">K51</f>
        <v>0</v>
      </c>
      <c r="L70" s="84">
        <f t="shared" si="34"/>
        <v>0.75</v>
      </c>
      <c r="M70" s="84">
        <f t="shared" si="34"/>
        <v>0.25</v>
      </c>
      <c r="N70" s="84">
        <f t="shared" si="34"/>
        <v>0</v>
      </c>
      <c r="O70" s="84">
        <f t="shared" si="34"/>
        <v>0</v>
      </c>
      <c r="P70" s="84">
        <f t="shared" si="34"/>
        <v>0</v>
      </c>
      <c r="Q70" s="84">
        <f>Q49</f>
        <v>0</v>
      </c>
      <c r="R70" s="84">
        <f t="shared" ref="R70:W70" si="35">R49</f>
        <v>0</v>
      </c>
      <c r="S70" s="84">
        <f t="shared" si="35"/>
        <v>0.75</v>
      </c>
      <c r="T70" s="84">
        <f t="shared" si="35"/>
        <v>0.25</v>
      </c>
      <c r="U70" s="84">
        <f t="shared" si="35"/>
        <v>0</v>
      </c>
      <c r="V70" s="84">
        <f t="shared" si="35"/>
        <v>0</v>
      </c>
      <c r="W70" s="84">
        <f t="shared" si="35"/>
        <v>0</v>
      </c>
      <c r="X70" s="84">
        <f>X50</f>
        <v>0</v>
      </c>
      <c r="Y70" s="84">
        <f t="shared" ref="Y70:AD70" si="36">Y50</f>
        <v>0</v>
      </c>
      <c r="Z70" s="84">
        <f t="shared" si="36"/>
        <v>0</v>
      </c>
      <c r="AA70" s="84">
        <f t="shared" si="36"/>
        <v>0</v>
      </c>
      <c r="AB70" s="84">
        <f t="shared" si="36"/>
        <v>0</v>
      </c>
      <c r="AC70" s="84">
        <f t="shared" si="36"/>
        <v>0.25</v>
      </c>
      <c r="AD70" s="85">
        <f t="shared" si="36"/>
        <v>0.75</v>
      </c>
    </row>
    <row r="71" spans="2:30" ht="15.75" thickBot="1" x14ac:dyDescent="0.3">
      <c r="B71" s="68" t="s">
        <v>87</v>
      </c>
      <c r="C71" s="72">
        <f>C49</f>
        <v>0</v>
      </c>
      <c r="D71" s="86">
        <f t="shared" ref="D71:I71" si="37">D49</f>
        <v>0</v>
      </c>
      <c r="E71" s="86">
        <f t="shared" si="37"/>
        <v>0</v>
      </c>
      <c r="F71" s="86">
        <f t="shared" si="37"/>
        <v>0.25</v>
      </c>
      <c r="G71" s="86">
        <f t="shared" si="37"/>
        <v>0.75</v>
      </c>
      <c r="H71" s="86">
        <f t="shared" si="37"/>
        <v>0</v>
      </c>
      <c r="I71" s="86">
        <f t="shared" si="37"/>
        <v>0</v>
      </c>
      <c r="J71" s="86">
        <f>J49</f>
        <v>0.75</v>
      </c>
      <c r="K71" s="86">
        <f t="shared" ref="K71:P71" si="38">K49</f>
        <v>0.25</v>
      </c>
      <c r="L71" s="86">
        <f t="shared" si="38"/>
        <v>0</v>
      </c>
      <c r="M71" s="86">
        <f t="shared" si="38"/>
        <v>0</v>
      </c>
      <c r="N71" s="86">
        <f t="shared" si="38"/>
        <v>0</v>
      </c>
      <c r="O71" s="86">
        <f t="shared" si="38"/>
        <v>0</v>
      </c>
      <c r="P71" s="86">
        <f t="shared" si="38"/>
        <v>0</v>
      </c>
      <c r="Q71" s="86">
        <f>Q50</f>
        <v>0.75</v>
      </c>
      <c r="R71" s="86">
        <f t="shared" ref="R71:W71" si="39">R50</f>
        <v>0.25</v>
      </c>
      <c r="S71" s="86">
        <f t="shared" si="39"/>
        <v>0</v>
      </c>
      <c r="T71" s="86">
        <f t="shared" si="39"/>
        <v>0</v>
      </c>
      <c r="U71" s="86">
        <f t="shared" si="39"/>
        <v>0</v>
      </c>
      <c r="V71" s="86">
        <f t="shared" si="39"/>
        <v>0</v>
      </c>
      <c r="W71" s="86">
        <f t="shared" si="39"/>
        <v>0</v>
      </c>
      <c r="X71" s="86">
        <f>X49</f>
        <v>0</v>
      </c>
      <c r="Y71" s="86">
        <f t="shared" ref="Y71:AD71" si="40">Y49</f>
        <v>0</v>
      </c>
      <c r="Z71" s="86">
        <f t="shared" si="40"/>
        <v>0.25</v>
      </c>
      <c r="AA71" s="86">
        <f t="shared" si="40"/>
        <v>0.75</v>
      </c>
      <c r="AB71" s="86">
        <f t="shared" si="40"/>
        <v>0</v>
      </c>
      <c r="AC71" s="86">
        <f t="shared" si="40"/>
        <v>0</v>
      </c>
      <c r="AD71" s="87">
        <f t="shared" si="40"/>
        <v>0</v>
      </c>
    </row>
    <row r="72" spans="2:30" ht="15.75" thickBot="1" x14ac:dyDescent="0.3"/>
    <row r="73" spans="2:30" ht="15.75" thickBot="1" x14ac:dyDescent="0.3">
      <c r="B73" s="73" t="s">
        <v>88</v>
      </c>
      <c r="C73" s="78" t="s">
        <v>5</v>
      </c>
      <c r="D73" s="78" t="s">
        <v>6</v>
      </c>
      <c r="E73" s="78" t="s">
        <v>7</v>
      </c>
      <c r="F73" s="80" t="s">
        <v>8</v>
      </c>
      <c r="G73" s="82"/>
      <c r="I73" s="73" t="s">
        <v>90</v>
      </c>
      <c r="J73" s="78" t="s">
        <v>5</v>
      </c>
      <c r="K73" s="78" t="s">
        <v>6</v>
      </c>
      <c r="L73" s="78" t="s">
        <v>7</v>
      </c>
      <c r="M73" s="78" t="s">
        <v>8</v>
      </c>
      <c r="N73" s="79" t="s">
        <v>89</v>
      </c>
    </row>
    <row r="74" spans="2:30" x14ac:dyDescent="0.25">
      <c r="B74" s="74" t="s">
        <v>1</v>
      </c>
      <c r="C74" s="28">
        <f>(1/7)*ABS(SUMPRODUCT($M$55:$S$55,$C$70:$I$70)-SUMPRODUCT($M$55:$S$55,C49:I49))</f>
        <v>0.2857142857142857</v>
      </c>
      <c r="D74" s="45">
        <f>(1/7)*ABS(SUMPRODUCT($M$55:$S$55,$J$70:$P$70)-SUMPRODUCT($M$55:$S$55,J49:P49))</f>
        <v>0.2857142857142857</v>
      </c>
      <c r="E74" s="45">
        <f>(1/7)*ABS(SUMPRODUCT($M$55:$S$55,$Q$70:$W$70)-SUMPRODUCT($M$55:$S$55,Q49:W49))</f>
        <v>0</v>
      </c>
      <c r="F74" s="46">
        <f>(1/7)*ABS(SUMPRODUCT($M$55:$S$55,$X$70:$AD$70)-SUMPRODUCT($M$55:$S$55,X49:AD49))</f>
        <v>0.42857142857142855</v>
      </c>
      <c r="G74" s="15"/>
      <c r="I74" s="74" t="s">
        <v>1</v>
      </c>
      <c r="J74" s="28">
        <f>C74^2</f>
        <v>8.1632653061224483E-2</v>
      </c>
      <c r="K74" s="45">
        <f t="shared" ref="K74:M74" si="41">D74^2</f>
        <v>8.1632653061224483E-2</v>
      </c>
      <c r="L74" s="45">
        <f t="shared" si="41"/>
        <v>0</v>
      </c>
      <c r="M74" s="45">
        <f t="shared" si="41"/>
        <v>0.18367346938775508</v>
      </c>
      <c r="N74" s="46">
        <f>(SUMPRODUCT($J$62:$M$62,J74:M74))^(1/2)</f>
        <v>0.29450754468697571</v>
      </c>
    </row>
    <row r="75" spans="2:30" x14ac:dyDescent="0.25">
      <c r="B75" s="74" t="s">
        <v>2</v>
      </c>
      <c r="C75" s="1">
        <f>(1/7)*ABS(SUMPRODUCT($M$55:$S$55,$C$70:$I$70)-SUMPRODUCT($M$55:$S$55,C50:I50))</f>
        <v>0.14285714285714285</v>
      </c>
      <c r="D75" s="17">
        <f t="shared" ref="D75:D77" si="42">(1/7)*ABS(SUMPRODUCT($M$55:$S$55,$J$70:$P$70)-SUMPRODUCT($M$55:$S$55,J50:P50))</f>
        <v>0.14285714285714285</v>
      </c>
      <c r="E75" s="17">
        <f t="shared" ref="E75:E77" si="43">(1/7)*ABS(SUMPRODUCT($M$55:$S$55,$Q$70:$W$70)-SUMPRODUCT($M$55:$S$55,Q50:W50))</f>
        <v>0.2857142857142857</v>
      </c>
      <c r="F75" s="47">
        <f t="shared" ref="F75:F77" si="44">(1/7)*ABS(SUMPRODUCT($M$55:$S$55,$X$70:$AD$70)-SUMPRODUCT($M$55:$S$55,X50:AD50))</f>
        <v>0</v>
      </c>
      <c r="G75" s="15"/>
      <c r="I75" s="74" t="s">
        <v>2</v>
      </c>
      <c r="J75" s="1">
        <f t="shared" ref="J75:J77" si="45">C75^2</f>
        <v>2.0408163265306121E-2</v>
      </c>
      <c r="K75" s="17">
        <f t="shared" ref="K75:K77" si="46">D75^2</f>
        <v>2.0408163265306121E-2</v>
      </c>
      <c r="L75" s="17">
        <f t="shared" ref="L75:L77" si="47">E75^2</f>
        <v>8.1632653061224483E-2</v>
      </c>
      <c r="M75" s="17">
        <f t="shared" ref="M75:M77" si="48">F75^2</f>
        <v>0</v>
      </c>
      <c r="N75" s="47">
        <f t="shared" ref="N75:N77" si="49">(SUMPRODUCT($J$62:$M$62,J75:M75))^(1/2)</f>
        <v>0.1749635530559413</v>
      </c>
    </row>
    <row r="76" spans="2:30" x14ac:dyDescent="0.25">
      <c r="B76" s="74" t="s">
        <v>3</v>
      </c>
      <c r="C76" s="1">
        <f>(1/7)*ABS(SUMPRODUCT($M$55:$S$55,$C$70:$I$70)-SUMPRODUCT($M$55:$S$55,C51:I51))</f>
        <v>0</v>
      </c>
      <c r="D76" s="17">
        <f t="shared" si="42"/>
        <v>0</v>
      </c>
      <c r="E76" s="17">
        <f t="shared" si="43"/>
        <v>0.21428571428571427</v>
      </c>
      <c r="F76" s="47">
        <f t="shared" si="44"/>
        <v>0.21428571428571427</v>
      </c>
      <c r="G76" s="15"/>
      <c r="I76" s="74" t="s">
        <v>3</v>
      </c>
      <c r="J76" s="1">
        <f t="shared" si="45"/>
        <v>0</v>
      </c>
      <c r="K76" s="17">
        <f t="shared" si="46"/>
        <v>0</v>
      </c>
      <c r="L76" s="17">
        <f t="shared" si="47"/>
        <v>4.5918367346938771E-2</v>
      </c>
      <c r="M76" s="17">
        <f t="shared" si="48"/>
        <v>4.5918367346938771E-2</v>
      </c>
      <c r="N76" s="47">
        <f t="shared" si="49"/>
        <v>0.15152288168283159</v>
      </c>
    </row>
    <row r="77" spans="2:30" ht="15.75" thickBot="1" x14ac:dyDescent="0.3">
      <c r="B77" s="75" t="s">
        <v>4</v>
      </c>
      <c r="C77" s="2">
        <f>(1/7)*ABS(SUMPRODUCT($M$55:$S$55,$C$70:$I$70)-SUMPRODUCT($M$55:$S$55,C52:I52))</f>
        <v>0.14285714285714285</v>
      </c>
      <c r="D77" s="35">
        <f t="shared" si="42"/>
        <v>0.10714285714285714</v>
      </c>
      <c r="E77" s="35">
        <f t="shared" si="43"/>
        <v>0</v>
      </c>
      <c r="F77" s="48">
        <f t="shared" si="44"/>
        <v>0.25</v>
      </c>
      <c r="G77" s="15"/>
      <c r="I77" s="75" t="s">
        <v>4</v>
      </c>
      <c r="J77" s="2">
        <f t="shared" si="45"/>
        <v>2.0408163265306121E-2</v>
      </c>
      <c r="K77" s="35">
        <f t="shared" si="46"/>
        <v>1.1479591836734693E-2</v>
      </c>
      <c r="L77" s="35">
        <f t="shared" si="47"/>
        <v>0</v>
      </c>
      <c r="M77" s="35">
        <f t="shared" si="48"/>
        <v>6.25E-2</v>
      </c>
      <c r="N77" s="48">
        <f t="shared" si="49"/>
        <v>0.15361295119718976</v>
      </c>
    </row>
    <row r="78" spans="2:30" ht="15.75" thickBot="1" x14ac:dyDescent="0.3"/>
    <row r="79" spans="2:30" ht="15.75" thickBot="1" x14ac:dyDescent="0.3">
      <c r="B79" s="73" t="s">
        <v>91</v>
      </c>
      <c r="C79" s="78" t="s">
        <v>5</v>
      </c>
      <c r="D79" s="78" t="s">
        <v>6</v>
      </c>
      <c r="E79" s="78" t="s">
        <v>7</v>
      </c>
      <c r="F79" s="80" t="s">
        <v>8</v>
      </c>
      <c r="G79" s="82"/>
      <c r="I79" s="73" t="s">
        <v>92</v>
      </c>
      <c r="J79" s="78" t="s">
        <v>5</v>
      </c>
      <c r="K79" s="78" t="s">
        <v>6</v>
      </c>
      <c r="L79" s="78" t="s">
        <v>7</v>
      </c>
      <c r="M79" s="78" t="s">
        <v>8</v>
      </c>
      <c r="N79" s="79" t="s">
        <v>89</v>
      </c>
    </row>
    <row r="80" spans="2:30" x14ac:dyDescent="0.25">
      <c r="B80" s="74" t="s">
        <v>1</v>
      </c>
      <c r="C80" s="28">
        <f>(1/7)*ABS(SUMPRODUCT($M$55:$S$55,$C$71:$I$71)-SUMPRODUCT($M$55:$S$55,C49:I49))</f>
        <v>0</v>
      </c>
      <c r="D80" s="45">
        <f>(1/7)*ABS(SUMPRODUCT($M$55:$S$55,$J$71:$P$71)-SUMPRODUCT($M$55:$S$55,J49:P49))</f>
        <v>0</v>
      </c>
      <c r="E80" s="45">
        <f>(1/7)*ABS(SUMPRODUCT($M$55:$S$55,$Q$71:$W$71)-SUMPRODUCT($M$55:$S$55,Q49:W49))</f>
        <v>0.2857142857142857</v>
      </c>
      <c r="F80" s="46">
        <f>(1/7)*ABS(SUMPRODUCT($M$55:$S$55,$X$71:$AD$71)-SUMPRODUCT($M$55:$S$55,X49:AD49))</f>
        <v>0</v>
      </c>
      <c r="G80" s="15"/>
      <c r="I80" s="74" t="s">
        <v>1</v>
      </c>
      <c r="J80" s="28">
        <f>C80^2</f>
        <v>0</v>
      </c>
      <c r="K80" s="45">
        <f t="shared" ref="K80:K83" si="50">D80^2</f>
        <v>0</v>
      </c>
      <c r="L80" s="45">
        <f t="shared" ref="L80:L83" si="51">E80^2</f>
        <v>8.1632653061224483E-2</v>
      </c>
      <c r="M80" s="45">
        <f t="shared" ref="M80:M83" si="52">F80^2</f>
        <v>0</v>
      </c>
      <c r="N80" s="46">
        <f>(SUMPRODUCT($J$62:$M$62,J80:M80))^(1/2)</f>
        <v>0.14285714285714285</v>
      </c>
    </row>
    <row r="81" spans="2:14" x14ac:dyDescent="0.25">
      <c r="B81" s="74" t="s">
        <v>2</v>
      </c>
      <c r="C81" s="1">
        <f t="shared" ref="C81:C83" si="53">(1/7)*ABS(SUMPRODUCT($M$55:$S$55,$C$71:$I$71)-SUMPRODUCT($M$55:$S$55,C50:I50))</f>
        <v>0.14285714285714285</v>
      </c>
      <c r="D81" s="17">
        <f t="shared" ref="D81:D83" si="54">(1/7)*ABS(SUMPRODUCT($M$55:$S$55,$J$71:$P$71)-SUMPRODUCT($M$55:$S$55,J50:P50))</f>
        <v>0.14285714285714285</v>
      </c>
      <c r="E81" s="17">
        <f t="shared" ref="E81:E83" si="55">(1/7)*ABS(SUMPRODUCT($M$55:$S$55,$Q$71:$W$71)-SUMPRODUCT($M$55:$S$55,Q50:W50))</f>
        <v>0</v>
      </c>
      <c r="F81" s="47">
        <f t="shared" ref="F81:F83" si="56">(1/7)*ABS(SUMPRODUCT($M$55:$S$55,$X$71:$AD$71)-SUMPRODUCT($M$55:$S$55,X50:AD50))</f>
        <v>0.42857142857142855</v>
      </c>
      <c r="G81" s="15"/>
      <c r="I81" s="74" t="s">
        <v>2</v>
      </c>
      <c r="J81" s="1">
        <f t="shared" ref="J81:J83" si="57">C81^2</f>
        <v>2.0408163265306121E-2</v>
      </c>
      <c r="K81" s="17">
        <f t="shared" si="50"/>
        <v>2.0408163265306121E-2</v>
      </c>
      <c r="L81" s="17">
        <f t="shared" si="51"/>
        <v>0</v>
      </c>
      <c r="M81" s="17">
        <f t="shared" si="52"/>
        <v>0.18367346938775508</v>
      </c>
      <c r="N81" s="47">
        <f t="shared" ref="N81:N83" si="58">(SUMPRODUCT($J$62:$M$62,J81:M81))^(1/2)</f>
        <v>0.23690177073967139</v>
      </c>
    </row>
    <row r="82" spans="2:14" x14ac:dyDescent="0.25">
      <c r="B82" s="74" t="s">
        <v>3</v>
      </c>
      <c r="C82" s="1">
        <f t="shared" si="53"/>
        <v>0.2857142857142857</v>
      </c>
      <c r="D82" s="17">
        <f t="shared" si="54"/>
        <v>0.2857142857142857</v>
      </c>
      <c r="E82" s="17">
        <f t="shared" si="55"/>
        <v>7.1428571428571425E-2</v>
      </c>
      <c r="F82" s="47">
        <f t="shared" si="56"/>
        <v>0.21428571428571427</v>
      </c>
      <c r="G82" s="15"/>
      <c r="I82" s="74" t="s">
        <v>3</v>
      </c>
      <c r="J82" s="1">
        <f t="shared" si="57"/>
        <v>8.1632653061224483E-2</v>
      </c>
      <c r="K82" s="17">
        <f t="shared" si="50"/>
        <v>8.1632653061224483E-2</v>
      </c>
      <c r="L82" s="17">
        <f t="shared" si="51"/>
        <v>5.1020408163265302E-3</v>
      </c>
      <c r="M82" s="17">
        <f t="shared" si="52"/>
        <v>4.5918367346938771E-2</v>
      </c>
      <c r="N82" s="47">
        <f t="shared" si="58"/>
        <v>0.23145502494313785</v>
      </c>
    </row>
    <row r="83" spans="2:14" ht="15.75" thickBot="1" x14ac:dyDescent="0.3">
      <c r="B83" s="75" t="s">
        <v>4</v>
      </c>
      <c r="C83" s="2">
        <f t="shared" si="53"/>
        <v>0.14285714285714285</v>
      </c>
      <c r="D83" s="35">
        <f t="shared" si="54"/>
        <v>0.17857142857142855</v>
      </c>
      <c r="E83" s="35">
        <f t="shared" si="55"/>
        <v>0.2857142857142857</v>
      </c>
      <c r="F83" s="48">
        <f t="shared" si="56"/>
        <v>0.17857142857142855</v>
      </c>
      <c r="G83" s="15"/>
      <c r="I83" s="75" t="s">
        <v>4</v>
      </c>
      <c r="J83" s="2">
        <f t="shared" si="57"/>
        <v>2.0408163265306121E-2</v>
      </c>
      <c r="K83" s="35">
        <f t="shared" si="50"/>
        <v>3.188775510204081E-2</v>
      </c>
      <c r="L83" s="35">
        <f t="shared" si="51"/>
        <v>8.1632653061224483E-2</v>
      </c>
      <c r="M83" s="35">
        <f t="shared" si="52"/>
        <v>3.188775510204081E-2</v>
      </c>
      <c r="N83" s="48">
        <f t="shared" si="58"/>
        <v>0.20360275448198889</v>
      </c>
    </row>
    <row r="85" spans="2:14" ht="15.75" thickBot="1" x14ac:dyDescent="0.3"/>
    <row r="86" spans="2:14" ht="15.75" thickBot="1" x14ac:dyDescent="0.3">
      <c r="B86" s="73" t="s">
        <v>93</v>
      </c>
      <c r="C86" s="76" t="s">
        <v>94</v>
      </c>
      <c r="D86" s="77" t="s">
        <v>95</v>
      </c>
    </row>
    <row r="87" spans="2:14" x14ac:dyDescent="0.25">
      <c r="B87" s="74" t="s">
        <v>1</v>
      </c>
      <c r="C87" s="28">
        <f>(N80)/(N74+N80)</f>
        <v>0.32663163471040935</v>
      </c>
      <c r="D87" s="46">
        <f>RANK(C87,$C$87:$C$90)</f>
        <v>4</v>
      </c>
    </row>
    <row r="88" spans="2:14" x14ac:dyDescent="0.25">
      <c r="B88" s="74" t="s">
        <v>2</v>
      </c>
      <c r="C88" s="1">
        <f t="shared" ref="C88:C90" si="59">(N81)/(N75+N81)</f>
        <v>0.57519231907280788</v>
      </c>
      <c r="D88" s="47">
        <f t="shared" ref="D88:D90" si="60">RANK(C88,$C$87:$C$90)</f>
        <v>2</v>
      </c>
    </row>
    <row r="89" spans="2:14" x14ac:dyDescent="0.25">
      <c r="B89" s="74" t="s">
        <v>3</v>
      </c>
      <c r="C89" s="1">
        <f t="shared" si="59"/>
        <v>0.60435607626104004</v>
      </c>
      <c r="D89" s="47">
        <f t="shared" si="60"/>
        <v>1</v>
      </c>
    </row>
    <row r="90" spans="2:14" ht="15.75" thickBot="1" x14ac:dyDescent="0.3">
      <c r="B90" s="75" t="s">
        <v>4</v>
      </c>
      <c r="C90" s="2">
        <f t="shared" si="59"/>
        <v>0.56997145210868161</v>
      </c>
      <c r="D90" s="48">
        <f t="shared" si="60"/>
        <v>3</v>
      </c>
    </row>
  </sheetData>
  <mergeCells count="26">
    <mergeCell ref="C69:I69"/>
    <mergeCell ref="J69:P69"/>
    <mergeCell ref="Q69:W69"/>
    <mergeCell ref="X69:AD69"/>
    <mergeCell ref="I2:J2"/>
    <mergeCell ref="C48:I48"/>
    <mergeCell ref="J48:P48"/>
    <mergeCell ref="Q48:W48"/>
    <mergeCell ref="X48:AD48"/>
    <mergeCell ref="C35:I35"/>
    <mergeCell ref="J35:P35"/>
    <mergeCell ref="Q35:W35"/>
    <mergeCell ref="X35:AD35"/>
    <mergeCell ref="C42:I42"/>
    <mergeCell ref="J42:P42"/>
    <mergeCell ref="Q42:W42"/>
    <mergeCell ref="X42:AD42"/>
    <mergeCell ref="B2:B3"/>
    <mergeCell ref="I9:J9"/>
    <mergeCell ref="B9:B10"/>
    <mergeCell ref="C9:D9"/>
    <mergeCell ref="E9:F9"/>
    <mergeCell ref="G9:H9"/>
    <mergeCell ref="C2:D2"/>
    <mergeCell ref="E2:F2"/>
    <mergeCell ref="G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6"/>
  <sheetViews>
    <sheetView topLeftCell="A49" zoomScale="85" zoomScaleNormal="85" workbookViewId="0">
      <selection activeCell="Q65" sqref="Q65"/>
    </sheetView>
  </sheetViews>
  <sheetFormatPr defaultRowHeight="15" x14ac:dyDescent="0.25"/>
  <cols>
    <col min="2" max="2" width="17" bestFit="1" customWidth="1"/>
    <col min="3" max="3" width="11" customWidth="1"/>
    <col min="14" max="14" width="13.5703125" customWidth="1"/>
  </cols>
  <sheetData>
    <row r="1" spans="2:20" ht="15.75" thickBot="1" x14ac:dyDescent="0.3"/>
    <row r="2" spans="2:20" x14ac:dyDescent="0.25">
      <c r="B2" s="130" t="s">
        <v>0</v>
      </c>
      <c r="C2" s="132" t="s">
        <v>5</v>
      </c>
      <c r="D2" s="132"/>
      <c r="E2" s="132" t="s">
        <v>6</v>
      </c>
      <c r="F2" s="132"/>
      <c r="G2" s="132" t="s">
        <v>7</v>
      </c>
      <c r="H2" s="132"/>
      <c r="I2" s="132" t="s">
        <v>8</v>
      </c>
      <c r="J2" s="133"/>
      <c r="L2" s="20"/>
      <c r="M2" s="9"/>
      <c r="N2" s="9"/>
      <c r="O2" s="9"/>
      <c r="P2" s="9"/>
      <c r="Q2" s="9"/>
      <c r="R2" s="9"/>
      <c r="S2" s="9"/>
      <c r="T2" s="9"/>
    </row>
    <row r="3" spans="2:20" x14ac:dyDescent="0.25">
      <c r="B3" s="131"/>
      <c r="C3" s="6" t="s">
        <v>14</v>
      </c>
      <c r="D3" s="6" t="s">
        <v>15</v>
      </c>
      <c r="E3" s="6" t="s">
        <v>14</v>
      </c>
      <c r="F3" s="6" t="s">
        <v>15</v>
      </c>
      <c r="G3" s="6" t="s">
        <v>14</v>
      </c>
      <c r="H3" s="6" t="s">
        <v>15</v>
      </c>
      <c r="I3" s="6" t="s">
        <v>14</v>
      </c>
      <c r="J3" s="7" t="s">
        <v>15</v>
      </c>
      <c r="L3" s="20"/>
      <c r="M3" s="21"/>
      <c r="N3" s="21"/>
      <c r="O3" s="21"/>
      <c r="P3" s="21"/>
      <c r="Q3" s="21"/>
      <c r="R3" s="21"/>
      <c r="S3" s="21"/>
      <c r="T3" s="21"/>
    </row>
    <row r="4" spans="2:20" x14ac:dyDescent="0.25">
      <c r="B4" s="1" t="s">
        <v>1</v>
      </c>
      <c r="C4" s="3">
        <v>4</v>
      </c>
      <c r="D4" s="3">
        <v>4</v>
      </c>
      <c r="E4" s="3">
        <v>0</v>
      </c>
      <c r="F4" s="3">
        <v>0</v>
      </c>
      <c r="G4" s="3">
        <v>2</v>
      </c>
      <c r="H4" s="3">
        <v>2</v>
      </c>
      <c r="I4" s="3">
        <v>3</v>
      </c>
      <c r="J4" s="4">
        <v>3</v>
      </c>
      <c r="L4" s="11"/>
      <c r="M4" s="11"/>
      <c r="N4" s="11"/>
      <c r="O4" s="11"/>
      <c r="P4" s="11"/>
      <c r="Q4" s="11"/>
      <c r="R4" s="11"/>
      <c r="S4" s="11"/>
      <c r="T4" s="11"/>
    </row>
    <row r="5" spans="2:20" x14ac:dyDescent="0.25">
      <c r="B5" s="1" t="s">
        <v>2</v>
      </c>
      <c r="C5" s="3">
        <v>5</v>
      </c>
      <c r="D5" s="3">
        <v>5</v>
      </c>
      <c r="E5" s="3">
        <v>1</v>
      </c>
      <c r="F5" s="3">
        <v>1</v>
      </c>
      <c r="G5" s="3">
        <v>0</v>
      </c>
      <c r="H5" s="3">
        <v>0</v>
      </c>
      <c r="I5" s="3">
        <v>6</v>
      </c>
      <c r="J5" s="4">
        <v>6</v>
      </c>
      <c r="L5" s="11"/>
      <c r="M5" s="11"/>
      <c r="N5" s="11"/>
      <c r="O5" s="11"/>
      <c r="P5" s="11"/>
      <c r="Q5" s="11"/>
      <c r="R5" s="11"/>
      <c r="S5" s="11"/>
      <c r="T5" s="11"/>
    </row>
    <row r="6" spans="2:20" x14ac:dyDescent="0.25">
      <c r="B6" s="1" t="s">
        <v>3</v>
      </c>
      <c r="C6" s="3">
        <v>6</v>
      </c>
      <c r="D6" s="3">
        <v>6</v>
      </c>
      <c r="E6" s="3">
        <v>2</v>
      </c>
      <c r="F6" s="3">
        <v>2</v>
      </c>
      <c r="G6" s="3">
        <v>1</v>
      </c>
      <c r="H6" s="3">
        <v>1</v>
      </c>
      <c r="I6" s="3">
        <v>4</v>
      </c>
      <c r="J6" s="4">
        <v>4</v>
      </c>
      <c r="L6" s="11"/>
      <c r="M6" s="11"/>
      <c r="N6" s="11"/>
      <c r="O6" s="11"/>
      <c r="P6" s="11"/>
      <c r="Q6" s="11"/>
      <c r="R6" s="11"/>
      <c r="S6" s="11"/>
      <c r="T6" s="11"/>
    </row>
    <row r="7" spans="2:20" x14ac:dyDescent="0.25">
      <c r="B7" s="1" t="s">
        <v>4</v>
      </c>
      <c r="C7" s="3">
        <v>4</v>
      </c>
      <c r="D7" s="3">
        <v>4</v>
      </c>
      <c r="E7" s="3">
        <v>1</v>
      </c>
      <c r="F7" s="3">
        <v>1</v>
      </c>
      <c r="G7" s="3">
        <v>2</v>
      </c>
      <c r="H7" s="3">
        <v>2</v>
      </c>
      <c r="I7" s="3">
        <v>3</v>
      </c>
      <c r="J7" s="4">
        <v>3</v>
      </c>
      <c r="L7" s="11"/>
      <c r="M7" s="11"/>
      <c r="N7" s="11"/>
      <c r="O7" s="11"/>
      <c r="P7" s="11"/>
      <c r="Q7" s="11"/>
      <c r="R7" s="11"/>
      <c r="S7" s="11"/>
      <c r="T7" s="11"/>
    </row>
    <row r="8" spans="2:20" ht="15.75" thickBot="1" x14ac:dyDescent="0.3"/>
    <row r="9" spans="2:20" x14ac:dyDescent="0.25">
      <c r="B9" s="130" t="s">
        <v>9</v>
      </c>
      <c r="C9" s="132" t="s">
        <v>5</v>
      </c>
      <c r="D9" s="132"/>
      <c r="E9" s="132" t="s">
        <v>6</v>
      </c>
      <c r="F9" s="132"/>
      <c r="G9" s="132" t="s">
        <v>7</v>
      </c>
      <c r="H9" s="132"/>
      <c r="I9" s="132" t="s">
        <v>8</v>
      </c>
      <c r="J9" s="133"/>
    </row>
    <row r="10" spans="2:20" x14ac:dyDescent="0.25">
      <c r="B10" s="131"/>
      <c r="C10" s="6" t="s">
        <v>14</v>
      </c>
      <c r="D10" s="6" t="s">
        <v>15</v>
      </c>
      <c r="E10" s="6" t="s">
        <v>14</v>
      </c>
      <c r="F10" s="6" t="s">
        <v>15</v>
      </c>
      <c r="G10" s="6" t="s">
        <v>14</v>
      </c>
      <c r="H10" s="6" t="s">
        <v>15</v>
      </c>
      <c r="I10" s="6" t="s">
        <v>14</v>
      </c>
      <c r="J10" s="7" t="s">
        <v>15</v>
      </c>
    </row>
    <row r="11" spans="2:20" x14ac:dyDescent="0.25">
      <c r="B11" s="1" t="s">
        <v>1</v>
      </c>
      <c r="C11" s="3">
        <v>3</v>
      </c>
      <c r="D11" s="3">
        <v>4</v>
      </c>
      <c r="E11" s="3">
        <v>0</v>
      </c>
      <c r="F11" s="3">
        <v>1</v>
      </c>
      <c r="G11" s="3">
        <v>2</v>
      </c>
      <c r="H11" s="3">
        <v>3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1</v>
      </c>
      <c r="F12" s="3">
        <v>2</v>
      </c>
      <c r="G12" s="3">
        <v>0</v>
      </c>
      <c r="H12" s="3">
        <v>1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2</v>
      </c>
      <c r="F13" s="3">
        <v>3</v>
      </c>
      <c r="G13" s="3">
        <v>0</v>
      </c>
      <c r="H13" s="3">
        <v>1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2</v>
      </c>
      <c r="F14" s="3">
        <v>2</v>
      </c>
      <c r="G14" s="3">
        <v>2</v>
      </c>
      <c r="H14" s="3">
        <v>3</v>
      </c>
      <c r="I14" s="3">
        <v>5</v>
      </c>
      <c r="J14" s="4">
        <v>5</v>
      </c>
    </row>
    <row r="15" spans="2:20" ht="15.75" thickBot="1" x14ac:dyDescent="0.3"/>
    <row r="16" spans="2:20" x14ac:dyDescent="0.25">
      <c r="B16" s="39" t="s">
        <v>47</v>
      </c>
      <c r="C16" s="40" t="s">
        <v>5</v>
      </c>
      <c r="D16" s="40" t="s">
        <v>6</v>
      </c>
      <c r="E16" s="40" t="s">
        <v>7</v>
      </c>
      <c r="F16" s="41" t="s">
        <v>8</v>
      </c>
      <c r="G16" s="9"/>
      <c r="H16" s="39" t="s">
        <v>47</v>
      </c>
      <c r="I16" s="40" t="s">
        <v>5</v>
      </c>
      <c r="J16" s="40" t="s">
        <v>6</v>
      </c>
      <c r="K16" s="40" t="s">
        <v>7</v>
      </c>
      <c r="L16" s="41" t="s">
        <v>8</v>
      </c>
    </row>
    <row r="17" spans="2:12" x14ac:dyDescent="0.25">
      <c r="B17" s="42" t="s">
        <v>48</v>
      </c>
      <c r="C17" s="8">
        <f>ABS(MIN(C4:D4)-MIN(C4:D4))+ABS(MAX(C4:D4)-MAX(C4:D4))</f>
        <v>0</v>
      </c>
      <c r="D17" s="8">
        <f>ABS(MIN(E4:F4)-MIN(E4:F4))+ABS(MAX(E4:F4)-MAX(E4:F4))</f>
        <v>0</v>
      </c>
      <c r="E17" s="8">
        <f>ABS(MIN(G4:H4)-MIN(G4:H4))+ABS(MAX(G4:H4)-MAX(G4:H4))</f>
        <v>0</v>
      </c>
      <c r="F17" s="8">
        <f>ABS(MIN(I4:J4)-MIN(I4:J4))+ABS(MAX(I4:J4)-MAX(I4:J4))</f>
        <v>0</v>
      </c>
      <c r="G17" s="21"/>
      <c r="H17" s="42" t="s">
        <v>56</v>
      </c>
      <c r="I17" s="8">
        <f>C23</f>
        <v>1</v>
      </c>
      <c r="J17" s="8">
        <f>D23</f>
        <v>1</v>
      </c>
      <c r="K17" s="8">
        <f>E23</f>
        <v>1</v>
      </c>
      <c r="L17" s="8">
        <f>F23</f>
        <v>1</v>
      </c>
    </row>
    <row r="18" spans="2:12" x14ac:dyDescent="0.25">
      <c r="B18" s="43" t="s">
        <v>49</v>
      </c>
      <c r="C18" s="8">
        <f t="shared" ref="C18:C20" si="0">ABS(MIN(C5:D5)-MIN(C5:D5))+ABS(MAX(C5:D5)-MAX(C5:D5))</f>
        <v>0</v>
      </c>
      <c r="D18" s="8">
        <f t="shared" ref="D18:D20" si="1">ABS(MIN(E5:F5)-MIN(E5:F5))+ABS(MAX(E5:F5)-MAX(E5:F5))</f>
        <v>0</v>
      </c>
      <c r="E18" s="8">
        <f t="shared" ref="E18:E20" si="2">ABS(MIN(G5:H5)-MIN(G5:H5))+ABS(MAX(G5:H5)-MAX(G5:H5))</f>
        <v>0</v>
      </c>
      <c r="F18" s="8">
        <f t="shared" ref="F18:F20" si="3">ABS(MIN(I5:J5)-MIN(I5:J5))+ABS(MAX(I5:J5)-MAX(I5:J5))</f>
        <v>0</v>
      </c>
      <c r="G18" s="11"/>
      <c r="H18" s="43" t="s">
        <v>57</v>
      </c>
      <c r="I18" s="8">
        <f t="shared" ref="I18:L20" si="4">C24</f>
        <v>1</v>
      </c>
      <c r="J18" s="8">
        <f t="shared" si="4"/>
        <v>1</v>
      </c>
      <c r="K18" s="8">
        <f t="shared" si="4"/>
        <v>1</v>
      </c>
      <c r="L18" s="8">
        <f t="shared" si="4"/>
        <v>1</v>
      </c>
    </row>
    <row r="19" spans="2:12" x14ac:dyDescent="0.25">
      <c r="B19" s="43" t="s">
        <v>50</v>
      </c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11"/>
      <c r="H19" s="43" t="s">
        <v>58</v>
      </c>
      <c r="I19" s="8">
        <f t="shared" si="4"/>
        <v>1</v>
      </c>
      <c r="J19" s="8">
        <f t="shared" si="4"/>
        <v>1</v>
      </c>
      <c r="K19" s="8">
        <f t="shared" si="4"/>
        <v>1</v>
      </c>
      <c r="L19" s="8">
        <f t="shared" si="4"/>
        <v>1</v>
      </c>
    </row>
    <row r="20" spans="2:12" ht="15.75" thickBot="1" x14ac:dyDescent="0.3">
      <c r="B20" s="44" t="s">
        <v>51</v>
      </c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11"/>
      <c r="H20" s="44" t="s">
        <v>59</v>
      </c>
      <c r="I20" s="8">
        <f t="shared" si="4"/>
        <v>3</v>
      </c>
      <c r="J20" s="8">
        <f t="shared" si="4"/>
        <v>2</v>
      </c>
      <c r="K20" s="8">
        <f t="shared" si="4"/>
        <v>1</v>
      </c>
      <c r="L20" s="8">
        <f>F26</f>
        <v>4</v>
      </c>
    </row>
    <row r="21" spans="2:12" ht="15.75" thickBot="1" x14ac:dyDescent="0.3">
      <c r="B21" s="11"/>
      <c r="C21" s="11"/>
      <c r="D21" s="11"/>
      <c r="E21" s="11"/>
      <c r="F21" s="11"/>
      <c r="G21" s="11"/>
      <c r="H21" s="11"/>
      <c r="I21" s="11"/>
      <c r="J21" s="11"/>
    </row>
    <row r="22" spans="2:12" x14ac:dyDescent="0.25">
      <c r="B22" s="39" t="s">
        <v>47</v>
      </c>
      <c r="C22" s="40" t="s">
        <v>5</v>
      </c>
      <c r="D22" s="40" t="s">
        <v>6</v>
      </c>
      <c r="E22" s="40" t="s">
        <v>7</v>
      </c>
      <c r="F22" s="41" t="s">
        <v>8</v>
      </c>
      <c r="G22" s="11"/>
      <c r="H22" s="39" t="s">
        <v>47</v>
      </c>
      <c r="I22" s="40" t="s">
        <v>5</v>
      </c>
      <c r="J22" s="40" t="s">
        <v>6</v>
      </c>
      <c r="K22" s="40" t="s">
        <v>7</v>
      </c>
      <c r="L22" s="41" t="s">
        <v>8</v>
      </c>
    </row>
    <row r="23" spans="2:12" x14ac:dyDescent="0.25">
      <c r="B23" s="42" t="s">
        <v>52</v>
      </c>
      <c r="C23" s="8">
        <f>ABS(MIN(C11:D11)-MIN(C4:D4))+ABS(MAX(C11:D11)-MAX(C4:D4))</f>
        <v>1</v>
      </c>
      <c r="D23" s="8">
        <f>ABS(MIN(E11:F11)-MIN(E4:F4))+ABS(MAX(E11:F11)-MAX(E4:F4))</f>
        <v>1</v>
      </c>
      <c r="E23" s="8">
        <f>ABS(MIN(G11:H11)-MIN(G4:H4))+ABS(MAX(G11:H11)-MAX(G4:H4))</f>
        <v>1</v>
      </c>
      <c r="F23" s="8">
        <f>ABS(MIN(I11:J11)-MIN(I4:J4))+ABS(MAX(I11:J11)-MAX(I4:J4))</f>
        <v>1</v>
      </c>
      <c r="H23" s="42" t="s">
        <v>60</v>
      </c>
      <c r="I23" s="8">
        <f>ABS(MIN(C11:D11)-MIN(C11:D11))+ABS(MAX(C11:D11)-MAX(C11:D11))</f>
        <v>0</v>
      </c>
      <c r="J23" s="8">
        <f>ABS(MIN(E11:F11)-MIN(E11:F11))+ABS(MAX(E11:F11)-MAX(E11:F11))</f>
        <v>0</v>
      </c>
      <c r="K23" s="8">
        <f>ABS(MIN(G11:H11)-MIN(G11:H11))+ABS(MAX(G11:H11)-MAX(G11:H11))</f>
        <v>0</v>
      </c>
      <c r="L23" s="8">
        <f>ABS(MIN(I11:J11)-MIN(I11:J11))+ABS(MAX(I11:J11)-MAX(I11:J11))</f>
        <v>0</v>
      </c>
    </row>
    <row r="24" spans="2:12" x14ac:dyDescent="0.25">
      <c r="B24" s="43" t="s">
        <v>53</v>
      </c>
      <c r="C24" s="8">
        <f t="shared" ref="C24:C26" si="5">ABS(MIN(C12:D12)-MIN(C5:D5))+ABS(MAX(C12:D12)-MAX(C5:D5))</f>
        <v>1</v>
      </c>
      <c r="D24" s="8">
        <f t="shared" ref="D24:D26" si="6">ABS(MIN(E12:F12)-MIN(E5:F5))+ABS(MAX(E12:F12)-MAX(E5:F5))</f>
        <v>1</v>
      </c>
      <c r="E24" s="8">
        <f t="shared" ref="E24:E26" si="7">ABS(MIN(G12:H12)-MIN(G5:H5))+ABS(MAX(G12:H12)-MAX(G5:H5))</f>
        <v>1</v>
      </c>
      <c r="F24" s="8">
        <f t="shared" ref="F24:F25" si="8">ABS(MIN(I12:J12)-MIN(I5:J5))+ABS(MAX(I12:J12)-MAX(I5:J5))</f>
        <v>1</v>
      </c>
      <c r="H24" s="43" t="s">
        <v>61</v>
      </c>
      <c r="I24" s="8">
        <f t="shared" ref="I24:I26" si="9">ABS(MIN(C12:D12)-MIN(C12:D12))+ABS(MAX(C12:D12)-MAX(C12:D12))</f>
        <v>0</v>
      </c>
      <c r="J24" s="8">
        <f t="shared" ref="J24:J26" si="10">ABS(MIN(E12:F12)-MIN(E12:F12))+ABS(MAX(E12:F12)-MAX(E12:F12))</f>
        <v>0</v>
      </c>
      <c r="K24" s="8">
        <f t="shared" ref="K24:K25" si="11">ABS(MIN(G12:H12)-MIN(G12:H12))+ABS(MAX(G12:H12)-MAX(G12:H12))</f>
        <v>0</v>
      </c>
      <c r="L24" s="8">
        <f t="shared" ref="L24:L25" si="12">ABS(MIN(I12:J12)-MIN(I12:J12))+ABS(MAX(I12:J12)-MAX(I12:J12))</f>
        <v>0</v>
      </c>
    </row>
    <row r="25" spans="2:12" x14ac:dyDescent="0.25">
      <c r="B25" s="43" t="s">
        <v>54</v>
      </c>
      <c r="C25" s="8">
        <f t="shared" si="5"/>
        <v>1</v>
      </c>
      <c r="D25" s="8">
        <f t="shared" si="6"/>
        <v>1</v>
      </c>
      <c r="E25" s="8">
        <f t="shared" si="7"/>
        <v>1</v>
      </c>
      <c r="F25" s="8">
        <f t="shared" si="8"/>
        <v>1</v>
      </c>
      <c r="H25" s="43" t="s">
        <v>62</v>
      </c>
      <c r="I25" s="8">
        <f t="shared" si="9"/>
        <v>0</v>
      </c>
      <c r="J25" s="8">
        <f t="shared" si="10"/>
        <v>0</v>
      </c>
      <c r="K25" s="8">
        <f t="shared" si="11"/>
        <v>0</v>
      </c>
      <c r="L25" s="8">
        <f t="shared" si="12"/>
        <v>0</v>
      </c>
    </row>
    <row r="26" spans="2:12" ht="15.75" thickBot="1" x14ac:dyDescent="0.3">
      <c r="B26" s="44" t="s">
        <v>55</v>
      </c>
      <c r="C26" s="8">
        <f t="shared" si="5"/>
        <v>3</v>
      </c>
      <c r="D26" s="8">
        <f t="shared" si="6"/>
        <v>2</v>
      </c>
      <c r="E26" s="8">
        <f t="shared" si="7"/>
        <v>1</v>
      </c>
      <c r="F26" s="8">
        <f>ABS(MIN(I14:J14)-MIN(I7:J7))+ABS(MAX(I14:J14)-MAX(I7:J7))</f>
        <v>4</v>
      </c>
      <c r="H26" s="44" t="s">
        <v>63</v>
      </c>
      <c r="I26" s="8">
        <f t="shared" si="9"/>
        <v>0</v>
      </c>
      <c r="J26" s="8">
        <f t="shared" si="10"/>
        <v>0</v>
      </c>
      <c r="K26" s="8">
        <f>ABS(MIN(G14:H14)-MIN(G14:H14))+ABS(MAX(G14:H14)-MAX(G14:H14))</f>
        <v>0</v>
      </c>
      <c r="L26" s="8">
        <f>ABS(MIN(I14:J14)-MIN(I14:J14))+ABS(MAX(I14:J14)-MAX(I14:J14))</f>
        <v>0</v>
      </c>
    </row>
    <row r="28" spans="2:12" ht="15.75" thickBot="1" x14ac:dyDescent="0.3"/>
    <row r="29" spans="2:12" x14ac:dyDescent="0.25">
      <c r="B29" s="28" t="s">
        <v>64</v>
      </c>
      <c r="C29" s="45" t="s">
        <v>65</v>
      </c>
      <c r="D29" s="45" t="s">
        <v>66</v>
      </c>
      <c r="E29" s="45" t="s">
        <v>67</v>
      </c>
      <c r="F29" s="45" t="s">
        <v>68</v>
      </c>
      <c r="G29" s="46" t="s">
        <v>69</v>
      </c>
    </row>
    <row r="30" spans="2:12" x14ac:dyDescent="0.25">
      <c r="B30" s="1" t="s">
        <v>1</v>
      </c>
      <c r="C30" s="17">
        <f>SUM(C17:F17,C23:F23)</f>
        <v>4</v>
      </c>
      <c r="D30" s="17">
        <f>SUM(I17:L17,I23:L23)</f>
        <v>4</v>
      </c>
      <c r="E30" s="17">
        <f>SUM(C30:D30)</f>
        <v>8</v>
      </c>
      <c r="F30" s="17">
        <f>C30/E30</f>
        <v>0.5</v>
      </c>
      <c r="G30" s="47">
        <f>D30/E30</f>
        <v>0.5</v>
      </c>
    </row>
    <row r="31" spans="2:12" x14ac:dyDescent="0.25">
      <c r="B31" s="1" t="s">
        <v>2</v>
      </c>
      <c r="C31" s="17">
        <f t="shared" ref="C31:C33" si="13">SUM(C18:F18,C24:F24)</f>
        <v>4</v>
      </c>
      <c r="D31" s="17">
        <f t="shared" ref="D31:D33" si="14">SUM(I18:L18,I24:L24)</f>
        <v>4</v>
      </c>
      <c r="E31" s="17">
        <f t="shared" ref="E31:E33" si="15">SUM(C31:D31)</f>
        <v>8</v>
      </c>
      <c r="F31" s="17">
        <f t="shared" ref="F31:F33" si="16">C31/E31</f>
        <v>0.5</v>
      </c>
      <c r="G31" s="47">
        <f t="shared" ref="G31:G33" si="17">D31/E31</f>
        <v>0.5</v>
      </c>
    </row>
    <row r="32" spans="2:12" x14ac:dyDescent="0.25">
      <c r="B32" s="1" t="s">
        <v>3</v>
      </c>
      <c r="C32" s="17">
        <f t="shared" si="13"/>
        <v>4</v>
      </c>
      <c r="D32" s="17">
        <f t="shared" si="14"/>
        <v>4</v>
      </c>
      <c r="E32" s="17">
        <f t="shared" si="15"/>
        <v>8</v>
      </c>
      <c r="F32" s="17">
        <f t="shared" si="16"/>
        <v>0.5</v>
      </c>
      <c r="G32" s="47">
        <f t="shared" si="17"/>
        <v>0.5</v>
      </c>
    </row>
    <row r="33" spans="2:30" ht="15.75" thickBot="1" x14ac:dyDescent="0.3">
      <c r="B33" s="2" t="s">
        <v>4</v>
      </c>
      <c r="C33" s="35">
        <f t="shared" si="13"/>
        <v>10</v>
      </c>
      <c r="D33" s="35">
        <f t="shared" si="14"/>
        <v>10</v>
      </c>
      <c r="E33" s="35">
        <f t="shared" si="15"/>
        <v>20</v>
      </c>
      <c r="F33" s="35">
        <f t="shared" si="16"/>
        <v>0.5</v>
      </c>
      <c r="G33" s="48">
        <f t="shared" si="17"/>
        <v>0.5</v>
      </c>
    </row>
    <row r="34" spans="2:30" ht="15.75" thickBot="1" x14ac:dyDescent="0.3"/>
    <row r="35" spans="2:30" x14ac:dyDescent="0.25">
      <c r="B35" s="49" t="s">
        <v>70</v>
      </c>
      <c r="C35" s="127" t="s">
        <v>5</v>
      </c>
      <c r="D35" s="128"/>
      <c r="E35" s="128"/>
      <c r="F35" s="128"/>
      <c r="G35" s="128"/>
      <c r="H35" s="128"/>
      <c r="I35" s="129"/>
      <c r="J35" s="127" t="s">
        <v>6</v>
      </c>
      <c r="K35" s="128"/>
      <c r="L35" s="128"/>
      <c r="M35" s="128"/>
      <c r="N35" s="128"/>
      <c r="O35" s="128"/>
      <c r="P35" s="129"/>
      <c r="Q35" s="127" t="s">
        <v>7</v>
      </c>
      <c r="R35" s="128"/>
      <c r="S35" s="128"/>
      <c r="T35" s="128"/>
      <c r="U35" s="128"/>
      <c r="V35" s="128"/>
      <c r="W35" s="129"/>
      <c r="X35" s="127" t="s">
        <v>8</v>
      </c>
      <c r="Y35" s="128"/>
      <c r="Z35" s="128"/>
      <c r="AA35" s="128"/>
      <c r="AB35" s="128"/>
      <c r="AC35" s="128"/>
      <c r="AD35" s="129"/>
    </row>
    <row r="36" spans="2:30" x14ac:dyDescent="0.25">
      <c r="B36" s="50" t="s">
        <v>1</v>
      </c>
      <c r="C36" s="51">
        <v>0</v>
      </c>
      <c r="D36" s="51">
        <v>0</v>
      </c>
      <c r="E36" s="51">
        <v>0</v>
      </c>
      <c r="F36" s="51">
        <v>0</v>
      </c>
      <c r="G36" s="51">
        <v>1</v>
      </c>
      <c r="H36" s="51">
        <v>0</v>
      </c>
      <c r="I36" s="51">
        <v>0</v>
      </c>
      <c r="J36" s="51">
        <v>1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1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1</v>
      </c>
      <c r="AB36" s="51">
        <v>0</v>
      </c>
      <c r="AC36" s="51">
        <v>0</v>
      </c>
      <c r="AD36" s="51">
        <v>0</v>
      </c>
    </row>
    <row r="37" spans="2:30" x14ac:dyDescent="0.25">
      <c r="B37" s="50" t="s">
        <v>2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1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1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1</v>
      </c>
    </row>
    <row r="38" spans="2:30" x14ac:dyDescent="0.25">
      <c r="B38" s="50" t="s">
        <v>3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1</v>
      </c>
      <c r="AC38" s="51">
        <v>0</v>
      </c>
      <c r="AD38" s="51">
        <v>0</v>
      </c>
    </row>
    <row r="39" spans="2:30" x14ac:dyDescent="0.25">
      <c r="B39" s="50" t="s">
        <v>4</v>
      </c>
      <c r="C39" s="51">
        <v>0</v>
      </c>
      <c r="D39" s="51">
        <v>0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1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1</v>
      </c>
      <c r="AB39" s="51">
        <v>0</v>
      </c>
      <c r="AC39" s="51">
        <v>0</v>
      </c>
      <c r="AD39" s="51">
        <v>0</v>
      </c>
    </row>
    <row r="40" spans="2:30" x14ac:dyDescent="0.25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 ht="15.75" thickBot="1" x14ac:dyDescent="0.3">
      <c r="B41" s="52"/>
      <c r="C41" s="19">
        <v>0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0</v>
      </c>
      <c r="K41" s="19">
        <v>1</v>
      </c>
      <c r="L41" s="19">
        <v>2</v>
      </c>
      <c r="M41" s="19">
        <v>3</v>
      </c>
      <c r="N41" s="19">
        <v>4</v>
      </c>
      <c r="O41" s="19">
        <v>5</v>
      </c>
      <c r="P41" s="19">
        <v>6</v>
      </c>
      <c r="Q41" s="19">
        <v>0</v>
      </c>
      <c r="R41" s="19">
        <v>1</v>
      </c>
      <c r="S41" s="19">
        <v>2</v>
      </c>
      <c r="T41" s="19">
        <v>3</v>
      </c>
      <c r="U41" s="19">
        <v>4</v>
      </c>
      <c r="V41" s="19">
        <v>5</v>
      </c>
      <c r="W41" s="19">
        <v>6</v>
      </c>
      <c r="X41" s="19">
        <v>0</v>
      </c>
      <c r="Y41" s="19">
        <v>1</v>
      </c>
      <c r="Z41" s="19">
        <v>2</v>
      </c>
      <c r="AA41" s="19">
        <v>3</v>
      </c>
      <c r="AB41" s="19">
        <v>4</v>
      </c>
      <c r="AC41" s="19">
        <v>5</v>
      </c>
      <c r="AD41" s="19">
        <v>6</v>
      </c>
    </row>
    <row r="42" spans="2:30" x14ac:dyDescent="0.25">
      <c r="B42" s="49" t="s">
        <v>71</v>
      </c>
      <c r="C42" s="127" t="s">
        <v>5</v>
      </c>
      <c r="D42" s="128"/>
      <c r="E42" s="128"/>
      <c r="F42" s="128"/>
      <c r="G42" s="128"/>
      <c r="H42" s="128"/>
      <c r="I42" s="129"/>
      <c r="J42" s="127" t="s">
        <v>6</v>
      </c>
      <c r="K42" s="128"/>
      <c r="L42" s="128"/>
      <c r="M42" s="128"/>
      <c r="N42" s="128"/>
      <c r="O42" s="128"/>
      <c r="P42" s="129"/>
      <c r="Q42" s="127" t="s">
        <v>7</v>
      </c>
      <c r="R42" s="128"/>
      <c r="S42" s="128"/>
      <c r="T42" s="128"/>
      <c r="U42" s="128"/>
      <c r="V42" s="128"/>
      <c r="W42" s="129"/>
      <c r="X42" s="127" t="s">
        <v>8</v>
      </c>
      <c r="Y42" s="128"/>
      <c r="Z42" s="128"/>
      <c r="AA42" s="128"/>
      <c r="AB42" s="128"/>
      <c r="AC42" s="128"/>
      <c r="AD42" s="129"/>
    </row>
    <row r="43" spans="2:30" x14ac:dyDescent="0.25">
      <c r="B43" s="50" t="s">
        <v>1</v>
      </c>
      <c r="C43" s="51">
        <v>0</v>
      </c>
      <c r="D43" s="51">
        <v>0</v>
      </c>
      <c r="E43" s="51">
        <v>0</v>
      </c>
      <c r="F43" s="51">
        <v>0.5</v>
      </c>
      <c r="G43" s="51">
        <v>0.5</v>
      </c>
      <c r="H43" s="51">
        <v>0</v>
      </c>
      <c r="I43" s="51">
        <v>0</v>
      </c>
      <c r="J43" s="51">
        <v>0.5</v>
      </c>
      <c r="K43" s="51">
        <v>0.5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0.5</v>
      </c>
      <c r="T43" s="51">
        <v>0.5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0.5</v>
      </c>
      <c r="AA43" s="51">
        <v>0.5</v>
      </c>
      <c r="AB43" s="51">
        <v>0</v>
      </c>
      <c r="AC43" s="51">
        <v>0</v>
      </c>
      <c r="AD43" s="51">
        <v>0</v>
      </c>
    </row>
    <row r="44" spans="2:30" x14ac:dyDescent="0.25">
      <c r="B44" s="50" t="s">
        <v>2</v>
      </c>
      <c r="C44" s="51">
        <v>0</v>
      </c>
      <c r="D44" s="51">
        <v>0</v>
      </c>
      <c r="E44" s="51">
        <v>0</v>
      </c>
      <c r="F44" s="51">
        <v>0</v>
      </c>
      <c r="G44" s="51">
        <v>0.5</v>
      </c>
      <c r="H44" s="51">
        <v>0.5</v>
      </c>
      <c r="I44" s="51">
        <v>0</v>
      </c>
      <c r="J44" s="51">
        <v>0</v>
      </c>
      <c r="K44" s="51">
        <v>0.5</v>
      </c>
      <c r="L44" s="51">
        <v>0.5</v>
      </c>
      <c r="M44" s="51">
        <v>0</v>
      </c>
      <c r="N44" s="51">
        <v>0</v>
      </c>
      <c r="O44" s="51">
        <v>0</v>
      </c>
      <c r="P44" s="51">
        <v>0</v>
      </c>
      <c r="Q44" s="51">
        <v>0.5</v>
      </c>
      <c r="R44" s="51">
        <v>0.5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0.5</v>
      </c>
      <c r="AD44" s="51">
        <v>0.5</v>
      </c>
    </row>
    <row r="45" spans="2:30" x14ac:dyDescent="0.25">
      <c r="B45" s="50" t="s">
        <v>3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0.5</v>
      </c>
      <c r="I45" s="51">
        <v>0.5</v>
      </c>
      <c r="J45" s="51">
        <v>0</v>
      </c>
      <c r="K45" s="51">
        <v>0</v>
      </c>
      <c r="L45" s="51">
        <v>0.5</v>
      </c>
      <c r="M45" s="51">
        <v>0.5</v>
      </c>
      <c r="N45" s="51">
        <v>0</v>
      </c>
      <c r="O45" s="51">
        <v>0</v>
      </c>
      <c r="P45" s="51">
        <v>0</v>
      </c>
      <c r="Q45" s="51">
        <v>0.5</v>
      </c>
      <c r="R45" s="51">
        <v>0.5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0.5</v>
      </c>
      <c r="AC45" s="51">
        <v>0.5</v>
      </c>
      <c r="AD45" s="51">
        <v>0</v>
      </c>
    </row>
    <row r="46" spans="2:30" x14ac:dyDescent="0.25">
      <c r="B46" s="50" t="s">
        <v>4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0.5</v>
      </c>
      <c r="I46" s="51">
        <v>0.5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0.5</v>
      </c>
      <c r="T46" s="51">
        <v>0.5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1</v>
      </c>
      <c r="AD46" s="51">
        <v>0</v>
      </c>
    </row>
    <row r="47" spans="2:30" ht="15.75" thickBot="1" x14ac:dyDescent="0.3"/>
    <row r="48" spans="2:30" x14ac:dyDescent="0.25">
      <c r="B48" s="54"/>
      <c r="C48" s="127" t="s">
        <v>5</v>
      </c>
      <c r="D48" s="128"/>
      <c r="E48" s="128"/>
      <c r="F48" s="128"/>
      <c r="G48" s="128"/>
      <c r="H48" s="128"/>
      <c r="I48" s="129"/>
      <c r="J48" s="127" t="s">
        <v>6</v>
      </c>
      <c r="K48" s="128"/>
      <c r="L48" s="128"/>
      <c r="M48" s="128"/>
      <c r="N48" s="128"/>
      <c r="O48" s="128"/>
      <c r="P48" s="129"/>
      <c r="Q48" s="127" t="s">
        <v>7</v>
      </c>
      <c r="R48" s="128"/>
      <c r="S48" s="128"/>
      <c r="T48" s="128"/>
      <c r="U48" s="128"/>
      <c r="V48" s="128"/>
      <c r="W48" s="129"/>
      <c r="X48" s="127" t="s">
        <v>8</v>
      </c>
      <c r="Y48" s="128"/>
      <c r="Z48" s="128"/>
      <c r="AA48" s="128"/>
      <c r="AB48" s="128"/>
      <c r="AC48" s="128"/>
      <c r="AD48" s="129"/>
    </row>
    <row r="49" spans="2:30" x14ac:dyDescent="0.25">
      <c r="B49" s="55" t="s">
        <v>1</v>
      </c>
      <c r="C49" s="56">
        <f t="shared" ref="C49:AD49" si="18">SUM(C36*$F$30,C43*$G$30)</f>
        <v>0</v>
      </c>
      <c r="D49" s="56">
        <f t="shared" si="18"/>
        <v>0</v>
      </c>
      <c r="E49" s="56">
        <f t="shared" si="18"/>
        <v>0</v>
      </c>
      <c r="F49" s="56">
        <f t="shared" si="18"/>
        <v>0.25</v>
      </c>
      <c r="G49" s="56">
        <f t="shared" si="18"/>
        <v>0.75</v>
      </c>
      <c r="H49" s="56">
        <f t="shared" si="18"/>
        <v>0</v>
      </c>
      <c r="I49" s="56">
        <f t="shared" si="18"/>
        <v>0</v>
      </c>
      <c r="J49" s="56">
        <f t="shared" si="18"/>
        <v>0.75</v>
      </c>
      <c r="K49" s="56">
        <f t="shared" si="18"/>
        <v>0.25</v>
      </c>
      <c r="L49" s="56">
        <f t="shared" si="18"/>
        <v>0</v>
      </c>
      <c r="M49" s="56">
        <f t="shared" si="18"/>
        <v>0</v>
      </c>
      <c r="N49" s="56">
        <f t="shared" si="18"/>
        <v>0</v>
      </c>
      <c r="O49" s="56">
        <f t="shared" si="18"/>
        <v>0</v>
      </c>
      <c r="P49" s="56">
        <f t="shared" si="18"/>
        <v>0</v>
      </c>
      <c r="Q49" s="56">
        <f t="shared" si="18"/>
        <v>0</v>
      </c>
      <c r="R49" s="56">
        <f t="shared" si="18"/>
        <v>0</v>
      </c>
      <c r="S49" s="56">
        <f t="shared" si="18"/>
        <v>0.75</v>
      </c>
      <c r="T49" s="56">
        <f t="shared" si="18"/>
        <v>0.25</v>
      </c>
      <c r="U49" s="56">
        <f t="shared" si="18"/>
        <v>0</v>
      </c>
      <c r="V49" s="56">
        <f t="shared" si="18"/>
        <v>0</v>
      </c>
      <c r="W49" s="56">
        <f t="shared" si="18"/>
        <v>0</v>
      </c>
      <c r="X49" s="56">
        <f t="shared" si="18"/>
        <v>0</v>
      </c>
      <c r="Y49" s="56">
        <f t="shared" si="18"/>
        <v>0</v>
      </c>
      <c r="Z49" s="56">
        <f t="shared" si="18"/>
        <v>0.25</v>
      </c>
      <c r="AA49" s="56">
        <f t="shared" si="18"/>
        <v>0.75</v>
      </c>
      <c r="AB49" s="56">
        <f t="shared" si="18"/>
        <v>0</v>
      </c>
      <c r="AC49" s="56">
        <f t="shared" si="18"/>
        <v>0</v>
      </c>
      <c r="AD49" s="56">
        <f t="shared" si="18"/>
        <v>0</v>
      </c>
    </row>
    <row r="50" spans="2:30" x14ac:dyDescent="0.25">
      <c r="B50" s="55" t="s">
        <v>2</v>
      </c>
      <c r="C50" s="56">
        <f t="shared" ref="C50:AD50" si="19">SUM(C37*$F$30,C44*$G$30)</f>
        <v>0</v>
      </c>
      <c r="D50" s="56">
        <f t="shared" si="19"/>
        <v>0</v>
      </c>
      <c r="E50" s="56">
        <f t="shared" si="19"/>
        <v>0</v>
      </c>
      <c r="F50" s="56">
        <f t="shared" si="19"/>
        <v>0</v>
      </c>
      <c r="G50" s="56">
        <f t="shared" si="19"/>
        <v>0.25</v>
      </c>
      <c r="H50" s="56">
        <f t="shared" si="19"/>
        <v>0.75</v>
      </c>
      <c r="I50" s="56">
        <f t="shared" si="19"/>
        <v>0</v>
      </c>
      <c r="J50" s="56">
        <f t="shared" si="19"/>
        <v>0</v>
      </c>
      <c r="K50" s="56">
        <f t="shared" si="19"/>
        <v>0.75</v>
      </c>
      <c r="L50" s="56">
        <f t="shared" si="19"/>
        <v>0.25</v>
      </c>
      <c r="M50" s="56">
        <f t="shared" si="19"/>
        <v>0</v>
      </c>
      <c r="N50" s="56">
        <f t="shared" si="19"/>
        <v>0</v>
      </c>
      <c r="O50" s="56">
        <f t="shared" si="19"/>
        <v>0</v>
      </c>
      <c r="P50" s="56">
        <f t="shared" si="19"/>
        <v>0</v>
      </c>
      <c r="Q50" s="56">
        <f t="shared" si="19"/>
        <v>0.75</v>
      </c>
      <c r="R50" s="56">
        <f t="shared" si="19"/>
        <v>0.25</v>
      </c>
      <c r="S50" s="56">
        <f t="shared" si="19"/>
        <v>0</v>
      </c>
      <c r="T50" s="56">
        <f t="shared" si="19"/>
        <v>0</v>
      </c>
      <c r="U50" s="56">
        <f t="shared" si="19"/>
        <v>0</v>
      </c>
      <c r="V50" s="56">
        <f t="shared" si="19"/>
        <v>0</v>
      </c>
      <c r="W50" s="56">
        <f t="shared" si="19"/>
        <v>0</v>
      </c>
      <c r="X50" s="56">
        <f t="shared" si="19"/>
        <v>0</v>
      </c>
      <c r="Y50" s="56">
        <f t="shared" si="19"/>
        <v>0</v>
      </c>
      <c r="Z50" s="56">
        <f t="shared" si="19"/>
        <v>0</v>
      </c>
      <c r="AA50" s="56">
        <f t="shared" si="19"/>
        <v>0</v>
      </c>
      <c r="AB50" s="56">
        <f t="shared" si="19"/>
        <v>0</v>
      </c>
      <c r="AC50" s="56">
        <f t="shared" si="19"/>
        <v>0.25</v>
      </c>
      <c r="AD50" s="56">
        <f t="shared" si="19"/>
        <v>0.75</v>
      </c>
    </row>
    <row r="51" spans="2:30" x14ac:dyDescent="0.25">
      <c r="B51" s="55" t="s">
        <v>3</v>
      </c>
      <c r="C51" s="56">
        <f t="shared" ref="C51:AD51" si="20">SUM(C38*$F$30,C45*$G$30)</f>
        <v>0</v>
      </c>
      <c r="D51" s="56">
        <f t="shared" si="20"/>
        <v>0</v>
      </c>
      <c r="E51" s="56">
        <f t="shared" si="20"/>
        <v>0</v>
      </c>
      <c r="F51" s="56">
        <f t="shared" si="20"/>
        <v>0</v>
      </c>
      <c r="G51" s="56">
        <f t="shared" si="20"/>
        <v>0</v>
      </c>
      <c r="H51" s="56">
        <f t="shared" si="20"/>
        <v>0.25</v>
      </c>
      <c r="I51" s="56">
        <f t="shared" si="20"/>
        <v>0.75</v>
      </c>
      <c r="J51" s="56">
        <f t="shared" si="20"/>
        <v>0</v>
      </c>
      <c r="K51" s="56">
        <f t="shared" si="20"/>
        <v>0</v>
      </c>
      <c r="L51" s="56">
        <f t="shared" si="20"/>
        <v>0.75</v>
      </c>
      <c r="M51" s="56">
        <f t="shared" si="20"/>
        <v>0.25</v>
      </c>
      <c r="N51" s="56">
        <f t="shared" si="20"/>
        <v>0</v>
      </c>
      <c r="O51" s="56">
        <f t="shared" si="20"/>
        <v>0</v>
      </c>
      <c r="P51" s="56">
        <f t="shared" si="20"/>
        <v>0</v>
      </c>
      <c r="Q51" s="56">
        <f t="shared" si="20"/>
        <v>0.25</v>
      </c>
      <c r="R51" s="56">
        <f t="shared" si="20"/>
        <v>0.75</v>
      </c>
      <c r="S51" s="56">
        <f t="shared" si="20"/>
        <v>0</v>
      </c>
      <c r="T51" s="56">
        <f t="shared" si="20"/>
        <v>0</v>
      </c>
      <c r="U51" s="56">
        <f t="shared" si="20"/>
        <v>0</v>
      </c>
      <c r="V51" s="56">
        <f t="shared" si="20"/>
        <v>0</v>
      </c>
      <c r="W51" s="56">
        <f t="shared" si="20"/>
        <v>0</v>
      </c>
      <c r="X51" s="56">
        <f t="shared" si="20"/>
        <v>0</v>
      </c>
      <c r="Y51" s="56">
        <f t="shared" si="20"/>
        <v>0</v>
      </c>
      <c r="Z51" s="56">
        <f t="shared" si="20"/>
        <v>0</v>
      </c>
      <c r="AA51" s="56">
        <f t="shared" si="20"/>
        <v>0</v>
      </c>
      <c r="AB51" s="56">
        <f t="shared" si="20"/>
        <v>0.75</v>
      </c>
      <c r="AC51" s="56">
        <f t="shared" si="20"/>
        <v>0.25</v>
      </c>
      <c r="AD51" s="56">
        <f t="shared" si="20"/>
        <v>0</v>
      </c>
    </row>
    <row r="52" spans="2:30" ht="15.75" thickBot="1" x14ac:dyDescent="0.3">
      <c r="B52" s="55" t="s">
        <v>4</v>
      </c>
      <c r="C52" s="56">
        <f t="shared" ref="C52:AD52" si="21">SUM(C39*$F$30,C46*$G$30)</f>
        <v>0</v>
      </c>
      <c r="D52" s="56">
        <f t="shared" si="21"/>
        <v>0</v>
      </c>
      <c r="E52" s="56">
        <f t="shared" si="21"/>
        <v>0</v>
      </c>
      <c r="F52" s="56">
        <f t="shared" si="21"/>
        <v>0</v>
      </c>
      <c r="G52" s="56">
        <f t="shared" si="21"/>
        <v>0.5</v>
      </c>
      <c r="H52" s="56">
        <f t="shared" si="21"/>
        <v>0.25</v>
      </c>
      <c r="I52" s="56">
        <f t="shared" si="21"/>
        <v>0.25</v>
      </c>
      <c r="J52" s="56">
        <f t="shared" si="21"/>
        <v>0</v>
      </c>
      <c r="K52" s="56">
        <f t="shared" si="21"/>
        <v>0.5</v>
      </c>
      <c r="L52" s="56">
        <f t="shared" si="21"/>
        <v>0.5</v>
      </c>
      <c r="M52" s="56">
        <f t="shared" si="21"/>
        <v>0</v>
      </c>
      <c r="N52" s="56">
        <f t="shared" si="21"/>
        <v>0</v>
      </c>
      <c r="O52" s="56">
        <f t="shared" si="21"/>
        <v>0</v>
      </c>
      <c r="P52" s="56">
        <f t="shared" si="21"/>
        <v>0</v>
      </c>
      <c r="Q52" s="56">
        <f t="shared" si="21"/>
        <v>0</v>
      </c>
      <c r="R52" s="56">
        <f t="shared" si="21"/>
        <v>0</v>
      </c>
      <c r="S52" s="56">
        <f t="shared" si="21"/>
        <v>0.75</v>
      </c>
      <c r="T52" s="56">
        <f t="shared" si="21"/>
        <v>0.25</v>
      </c>
      <c r="U52" s="56">
        <f t="shared" si="21"/>
        <v>0</v>
      </c>
      <c r="V52" s="56">
        <f t="shared" si="21"/>
        <v>0</v>
      </c>
      <c r="W52" s="56">
        <f t="shared" si="21"/>
        <v>0</v>
      </c>
      <c r="X52" s="56">
        <f t="shared" si="21"/>
        <v>0</v>
      </c>
      <c r="Y52" s="56">
        <f t="shared" si="21"/>
        <v>0</v>
      </c>
      <c r="Z52" s="56">
        <f t="shared" si="21"/>
        <v>0</v>
      </c>
      <c r="AA52" s="56">
        <f t="shared" si="21"/>
        <v>0.5</v>
      </c>
      <c r="AB52" s="56">
        <f t="shared" si="21"/>
        <v>0</v>
      </c>
      <c r="AC52" s="56">
        <f t="shared" si="21"/>
        <v>0.5</v>
      </c>
      <c r="AD52" s="56">
        <f t="shared" si="21"/>
        <v>0</v>
      </c>
    </row>
    <row r="53" spans="2:30" x14ac:dyDescent="0.25">
      <c r="B53" s="93" t="s">
        <v>96</v>
      </c>
      <c r="C53" s="94">
        <f>C73</f>
        <v>0</v>
      </c>
      <c r="D53" s="94">
        <f t="shared" ref="D53:AD53" si="22">D73</f>
        <v>0</v>
      </c>
      <c r="E53" s="94">
        <f t="shared" si="22"/>
        <v>0</v>
      </c>
      <c r="F53" s="94">
        <f t="shared" si="22"/>
        <v>0</v>
      </c>
      <c r="G53" s="94">
        <f t="shared" si="22"/>
        <v>0</v>
      </c>
      <c r="H53" s="94">
        <f t="shared" si="22"/>
        <v>0.25</v>
      </c>
      <c r="I53" s="94">
        <f t="shared" si="22"/>
        <v>0.75</v>
      </c>
      <c r="J53" s="94">
        <f t="shared" si="22"/>
        <v>0</v>
      </c>
      <c r="K53" s="94">
        <f t="shared" si="22"/>
        <v>0</v>
      </c>
      <c r="L53" s="94">
        <f t="shared" si="22"/>
        <v>0.75</v>
      </c>
      <c r="M53" s="94">
        <f t="shared" si="22"/>
        <v>0.25</v>
      </c>
      <c r="N53" s="94">
        <f t="shared" si="22"/>
        <v>0</v>
      </c>
      <c r="O53" s="94">
        <f t="shared" si="22"/>
        <v>0</v>
      </c>
      <c r="P53" s="94">
        <f t="shared" si="22"/>
        <v>0</v>
      </c>
      <c r="Q53" s="94">
        <f t="shared" si="22"/>
        <v>0</v>
      </c>
      <c r="R53" s="94">
        <f t="shared" si="22"/>
        <v>0</v>
      </c>
      <c r="S53" s="94">
        <f t="shared" si="22"/>
        <v>0.75</v>
      </c>
      <c r="T53" s="94">
        <f t="shared" si="22"/>
        <v>0.25</v>
      </c>
      <c r="U53" s="94">
        <f t="shared" si="22"/>
        <v>0</v>
      </c>
      <c r="V53" s="94">
        <f t="shared" si="22"/>
        <v>0</v>
      </c>
      <c r="W53" s="94">
        <f t="shared" si="22"/>
        <v>0</v>
      </c>
      <c r="X53" s="94">
        <f t="shared" si="22"/>
        <v>0</v>
      </c>
      <c r="Y53" s="94">
        <f t="shared" si="22"/>
        <v>0</v>
      </c>
      <c r="Z53" s="94">
        <f t="shared" si="22"/>
        <v>0</v>
      </c>
      <c r="AA53" s="94">
        <f t="shared" si="22"/>
        <v>0</v>
      </c>
      <c r="AB53" s="94">
        <f t="shared" si="22"/>
        <v>0</v>
      </c>
      <c r="AC53" s="94">
        <f t="shared" si="22"/>
        <v>0.25</v>
      </c>
      <c r="AD53" s="94">
        <f t="shared" si="22"/>
        <v>0.75</v>
      </c>
    </row>
    <row r="54" spans="2:30" ht="15.75" thickBot="1" x14ac:dyDescent="0.3"/>
    <row r="55" spans="2:30" ht="15.75" thickBot="1" x14ac:dyDescent="0.3">
      <c r="C55" s="18"/>
      <c r="D55" s="57" t="s">
        <v>72</v>
      </c>
      <c r="E55" s="58"/>
      <c r="F55" s="58"/>
      <c r="G55" s="58"/>
      <c r="I55" s="81"/>
      <c r="J55" s="15"/>
      <c r="L55" s="62" t="s">
        <v>76</v>
      </c>
      <c r="M55" s="22" t="s">
        <v>77</v>
      </c>
      <c r="N55" s="22" t="s">
        <v>78</v>
      </c>
      <c r="O55" s="22" t="s">
        <v>79</v>
      </c>
      <c r="P55" s="22" t="s">
        <v>80</v>
      </c>
      <c r="Q55" s="22" t="s">
        <v>81</v>
      </c>
      <c r="R55" s="22" t="s">
        <v>82</v>
      </c>
      <c r="S55" s="23" t="s">
        <v>83</v>
      </c>
    </row>
    <row r="56" spans="2:30" ht="15.75" thickBot="1" x14ac:dyDescent="0.3">
      <c r="C56" s="52"/>
      <c r="D56" s="100" t="s">
        <v>5</v>
      </c>
      <c r="E56" s="69" t="s">
        <v>6</v>
      </c>
      <c r="F56" s="69" t="s">
        <v>7</v>
      </c>
      <c r="G56" s="70" t="s">
        <v>8</v>
      </c>
      <c r="I56" s="61"/>
      <c r="J56" s="15"/>
      <c r="L56" s="63" t="s">
        <v>84</v>
      </c>
      <c r="M56" s="64">
        <v>0</v>
      </c>
      <c r="N56" s="64">
        <v>1</v>
      </c>
      <c r="O56" s="64">
        <v>2</v>
      </c>
      <c r="P56" s="64">
        <v>3</v>
      </c>
      <c r="Q56" s="64">
        <v>4</v>
      </c>
      <c r="R56" s="64">
        <v>5</v>
      </c>
      <c r="S56" s="65">
        <v>6</v>
      </c>
    </row>
    <row r="57" spans="2:30" x14ac:dyDescent="0.25">
      <c r="C57" s="50" t="s">
        <v>1</v>
      </c>
      <c r="D57" s="109">
        <f>SUMPRODUCT(C49:I49,$C$41:$I$41)</f>
        <v>3.75</v>
      </c>
      <c r="E57" s="110">
        <f>SUMPRODUCT(J49:P49,$C$41:$I$41)</f>
        <v>0.25</v>
      </c>
      <c r="F57" s="110">
        <f>SUMPRODUCT(Q49:W49,$C$41:$I$41)</f>
        <v>2.25</v>
      </c>
      <c r="G57" s="111">
        <f>SUMPRODUCT(X49:AD49,$C$41:$I$41)</f>
        <v>2.75</v>
      </c>
      <c r="I57" s="81"/>
      <c r="J57" s="15"/>
    </row>
    <row r="58" spans="2:30" x14ac:dyDescent="0.25">
      <c r="C58" s="50" t="s">
        <v>2</v>
      </c>
      <c r="D58" s="59">
        <f>SUMPRODUCT(C50:I50,$C$41:$I$41)</f>
        <v>4.75</v>
      </c>
      <c r="E58" s="108">
        <f>SUMPRODUCT(J50:P50,$C$41:$I$41)</f>
        <v>1.25</v>
      </c>
      <c r="F58" s="108">
        <f>SUMPRODUCT(Q50:W50,$C$41:$I$41)</f>
        <v>0.25</v>
      </c>
      <c r="G58" s="112">
        <f t="shared" ref="G58" si="23">SUMPRODUCT(X50:AD50,$C$41:$I$41)</f>
        <v>5.75</v>
      </c>
      <c r="I58" s="81"/>
      <c r="J58" s="15"/>
    </row>
    <row r="59" spans="2:30" x14ac:dyDescent="0.25">
      <c r="C59" s="50" t="s">
        <v>3</v>
      </c>
      <c r="D59" s="59">
        <f>SUMPRODUCT(C51:I51,$C$41:$I$41)</f>
        <v>5.75</v>
      </c>
      <c r="E59" s="108">
        <f>SUMPRODUCT(J51:P51,$C$41:$I$41)</f>
        <v>2.25</v>
      </c>
      <c r="F59" s="108">
        <f>SUMPRODUCT(Q51:W51,$C$41:$I$41)</f>
        <v>0.75</v>
      </c>
      <c r="G59" s="112">
        <f>SUMPRODUCT(X51:AD51,$C$41:$I$41)</f>
        <v>4.25</v>
      </c>
      <c r="I59" s="81"/>
      <c r="J59" s="15"/>
    </row>
    <row r="60" spans="2:30" x14ac:dyDescent="0.25">
      <c r="C60" s="50" t="s">
        <v>4</v>
      </c>
      <c r="D60" s="59">
        <f>SUMPRODUCT(C52:I52,$C$41:$I$41)</f>
        <v>4.75</v>
      </c>
      <c r="E60" s="108">
        <f>SUMPRODUCT(J52:P52,$C$41:$I$41)</f>
        <v>1.5</v>
      </c>
      <c r="F60" s="108">
        <f>SUMPRODUCT(Q52:W52,$C$41:$I$41)</f>
        <v>2.25</v>
      </c>
      <c r="G60" s="112">
        <f>SUMPRODUCT(X52:AD52,$C$41:$I$41)</f>
        <v>4</v>
      </c>
    </row>
    <row r="61" spans="2:30" ht="15.75" thickBot="1" x14ac:dyDescent="0.3">
      <c r="C61" s="116" t="s">
        <v>96</v>
      </c>
      <c r="D61" s="124">
        <f>SUMPRODUCT(C53:I53,$C$41:$I$41)</f>
        <v>5.75</v>
      </c>
      <c r="E61" s="125">
        <f>SUMPRODUCT(J53:P53,$C$41:$I$41)</f>
        <v>2.25</v>
      </c>
      <c r="F61" s="125">
        <f>SUMPRODUCT(Q53:W53,$C$41:$I$41)</f>
        <v>2.25</v>
      </c>
      <c r="G61" s="126">
        <f>SUMPRODUCT(X53:AD53,$C$41:$I$41)</f>
        <v>5.75</v>
      </c>
    </row>
    <row r="62" spans="2:30" ht="15.75" thickBot="1" x14ac:dyDescent="0.3">
      <c r="C62" s="18"/>
      <c r="D62" s="60">
        <f>COUNTIF(D57:D60,MAX(D57:D60))</f>
        <v>1</v>
      </c>
      <c r="E62" s="60">
        <f t="shared" ref="E62:G62" si="24">COUNTIF(E57:E60,MAX(E57:E60))</f>
        <v>1</v>
      </c>
      <c r="F62" s="60">
        <f t="shared" si="24"/>
        <v>2</v>
      </c>
      <c r="G62" s="60">
        <f t="shared" si="24"/>
        <v>1</v>
      </c>
    </row>
    <row r="63" spans="2:30" x14ac:dyDescent="0.25">
      <c r="C63" s="54"/>
      <c r="D63" s="60">
        <f>COUNTIF(D57:D60,MIN(D57:D60))</f>
        <v>1</v>
      </c>
      <c r="E63" s="60">
        <f t="shared" ref="E63:G63" si="25">COUNTIF(E57:E60,MIN(E57:E60))</f>
        <v>1</v>
      </c>
      <c r="F63" s="60">
        <f t="shared" si="25"/>
        <v>1</v>
      </c>
      <c r="G63" s="60">
        <f t="shared" si="25"/>
        <v>1</v>
      </c>
      <c r="I63" s="83" t="s">
        <v>75</v>
      </c>
      <c r="J63" s="45" t="s">
        <v>5</v>
      </c>
      <c r="K63" s="45" t="s">
        <v>6</v>
      </c>
      <c r="L63" s="45" t="s">
        <v>7</v>
      </c>
      <c r="M63" s="46" t="s">
        <v>8</v>
      </c>
    </row>
    <row r="64" spans="2:30" ht="15.75" thickBot="1" x14ac:dyDescent="0.3">
      <c r="C64" s="57" t="s">
        <v>73</v>
      </c>
      <c r="D64" s="58"/>
      <c r="E64" s="58"/>
      <c r="F64" s="58"/>
      <c r="G64" s="58"/>
      <c r="I64" s="2"/>
      <c r="J64" s="35">
        <v>0.25</v>
      </c>
      <c r="K64" s="35">
        <v>0.25</v>
      </c>
      <c r="L64" s="35">
        <v>0.25</v>
      </c>
      <c r="M64" s="48">
        <v>0.25</v>
      </c>
    </row>
    <row r="65" spans="2:30" ht="15.75" thickBot="1" x14ac:dyDescent="0.3">
      <c r="C65" s="52"/>
      <c r="D65" s="100" t="s">
        <v>5</v>
      </c>
      <c r="E65" s="69" t="s">
        <v>6</v>
      </c>
      <c r="F65" s="69" t="s">
        <v>7</v>
      </c>
      <c r="G65" s="70" t="s">
        <v>8</v>
      </c>
    </row>
    <row r="66" spans="2:30" x14ac:dyDescent="0.25">
      <c r="C66" s="50" t="s">
        <v>1</v>
      </c>
      <c r="D66" s="101">
        <f>SUM(($M$56-D57)^2*C49,($N$56-D57)^2*D49,($O$56-D57)^2*E49,($P$56-D57)^2*F49,($Q$56-D57)^2*G49,($R$56-D57)^2*H49,($S$56-D57)^2*I49)</f>
        <v>0.1875</v>
      </c>
      <c r="E66" s="102">
        <f>SUM(($M$56-E57)^2*J49,($N$56-E57)^2*K49,($O$56-E57)^2*L49,($P$56-E57)^2*M49,($Q$56-E57)^2*N49,($R$56-E57)^2*O49,($S$56-E57)^2*P49)</f>
        <v>0.1875</v>
      </c>
      <c r="F66" s="102">
        <f>SUM(($M$56-F57)^2*Q49,($N$56-F57)^2*R49,($O$56-F57)^2*S49,($P$56-F57)^2*T49,($Q$56-F57)^2*U49,($R$56-F57)^2*V49,($S$56-F57)^2*W49)</f>
        <v>0.1875</v>
      </c>
      <c r="G66" s="103">
        <f>SUM(($M$56-G57)^2*X49,($N$56-G57)^2*Y49,($O$56-G57)^2*Z49,($P$56-G57)^2*AA49,($Q$56-G57)^2*AB49,($R$56-G57)^2*AC49,($S$56-G57)^2*AD49)</f>
        <v>0.1875</v>
      </c>
    </row>
    <row r="67" spans="2:30" x14ac:dyDescent="0.25">
      <c r="C67" s="50" t="s">
        <v>2</v>
      </c>
      <c r="D67" s="56">
        <f>SUM(($M$56-D58)^2*C50,($N$56-D58)^2*D50,($O$56-D58)^2*E50,($P$56-D58)^2*F50,($Q$56-D58)^2*G50,($R$56-D58)^2*H50,($S$56-D58)^2*I50)</f>
        <v>0.1875</v>
      </c>
      <c r="E67" s="99">
        <f>SUM(($M$56-E58)^2*J50,($N$56-E58)^2*K50,($O$56-E58)^2*L50,($P$56-E58)^2*M50,($Q$56-E58)^2*N50,($R$56-E58)^2*O50,($S$56-E58)^2*P50)</f>
        <v>0.1875</v>
      </c>
      <c r="F67" s="99">
        <f>SUM(($M$56-F58)^2*Q50,($N$56-F58)^2*R50,($O$56-F58)^2*S50,($P$56-F58)^2*T50,($Q$56-F58)^2*U50,($R$56-F58)^2*V50,($S$56-F58)^2*W50)</f>
        <v>0.1875</v>
      </c>
      <c r="G67" s="104">
        <f>SUM(($M$56-G58)^2*X50,($N$56-G58)^2*Y50,($O$56-G58)^2*Z50,($P$56-G58)^2*AA50,($Q$56-G58)^2*AB50,($R$56-G58)^2*AC50,($S$56-G58)^2*AD50)</f>
        <v>0.1875</v>
      </c>
    </row>
    <row r="68" spans="2:30" x14ac:dyDescent="0.25">
      <c r="C68" s="50" t="s">
        <v>3</v>
      </c>
      <c r="D68" s="56">
        <f>SUM(($M$56-D59)^2*C51,($N$56-D59)^2*D51,($O$56-D59)^2*E51,($P$56-D59)^2*F51,($Q$56-D59)^2*G51,($R$56-D59)^2*H51,($S$56-D59)^2*I51)</f>
        <v>0.1875</v>
      </c>
      <c r="E68" s="99">
        <f>SUM(($M$56-E59)^2*J51,($N$56-E59)^2*K51,($O$56-E59)^2*L51,($P$56-E59)^2*M51,($Q$56-E59)^2*N51,($R$56-E59)^2*O51,($S$56-E59)^2*P51)</f>
        <v>0.1875</v>
      </c>
      <c r="F68" s="99">
        <f>SUM(($M$56-F59)^2*Q51,($N$56-F59)^2*R51,($O$56-F59)^2*S51,($P$56-F59)^2*T51,($Q$56-F59)^2*U51,($R$56-F59)^2*V51,($S$56-F59)^2*W51)</f>
        <v>0.1875</v>
      </c>
      <c r="G68" s="104">
        <f>SUM(($M$56-G59)^2*X51,($N$56-G59)^2*Y51,($O$56-G59)^2*Z51,($P$56-G59)^2*AA51,($Q$56-G59)^2*AB51,($R$56-G59)^2*AC51,($S$56-G59)^2*AD51)</f>
        <v>0.1875</v>
      </c>
    </row>
    <row r="69" spans="2:30" x14ac:dyDescent="0.25">
      <c r="C69" s="50" t="s">
        <v>4</v>
      </c>
      <c r="D69" s="56">
        <f>SUM(($M$56-D60)^2*C52,($N$56-D60)^2*D52,($O$56-D60)^2*E52,($P$56-D60)^2*F52,($Q$56-D60)^2*G52,($R$56-D60)^2*H52,($S$56-D60)^2*I52)</f>
        <v>0.6875</v>
      </c>
      <c r="E69" s="99">
        <f>SUM(($M$56-E60)^2*J52,($N$56-E60)^2*K52,($O$56-E60)^2*L52,($P$56-E60)^2*M52,($Q$56-E60)^2*N52,($R$56-E60)^2*O52,($S$56-E60)^2*P52)</f>
        <v>0.25</v>
      </c>
      <c r="F69" s="99">
        <f>SUM(($M$56-F60)^2*Q52,($N$56-F60)^2*R52,($O$56-F60)^2*S52,($P$56-F60)^2*T52,($Q$56-F60)^2*U52,($R$56-F60)^2*V52,($S$56-F60)^2*W52)</f>
        <v>0.1875</v>
      </c>
      <c r="G69" s="104">
        <f>SUM(($M$56-G60)^2*X52,($N$56-G60)^2*Y52,($O$56-G60)^2*Z52,($P$56-G60)^2*AA52,($Q$56-G60)^2*AB52,($R$56-G60)^2*AC52,($S$56-G60)^2*AD52)</f>
        <v>1</v>
      </c>
    </row>
    <row r="70" spans="2:30" ht="15.75" thickBot="1" x14ac:dyDescent="0.3">
      <c r="C70" s="116" t="s">
        <v>96</v>
      </c>
      <c r="D70" s="121">
        <f>SUM(($M$56-D61)^2*C53,($N$56-D61)^2*D53,($O$56-D61)^2*E53,($P$56-D61)^2*F53,($Q$56-D61)^2*G53,($R$56-D61)^2*H53,($S$56-D61)^2*I53)</f>
        <v>0.1875</v>
      </c>
      <c r="E70" s="122">
        <f>SUM(($M$56-E61)^2*J53,($N$56-E61)^2*K53,($O$56-E61)^2*L53,($P$56-E61)^2*M53,($Q$56-E61)^2*N53,($R$56-E61)^2*O53,($S$56-E61)^2*P53)</f>
        <v>0.1875</v>
      </c>
      <c r="F70" s="122">
        <f>SUM(($M$56-F61)^2*Q53,($N$56-F61)^2*R53,($O$56-F61)^2*S53,($P$56-F61)^2*T53,($Q$56-F61)^2*U53,($R$56-F61)^2*V53,($S$56-F61)^2*W53)</f>
        <v>0.1875</v>
      </c>
      <c r="G70" s="123">
        <f>SUM(($M$56-G61)^2*X53,($N$56-G61)^2*Y53,($O$56-G61)^2*Z53,($P$56-G61)^2*AA53,($Q$56-G61)^2*AB53,($R$56-G61)^2*AC53,($S$56-G61)^2*AD53)</f>
        <v>0.1875</v>
      </c>
    </row>
    <row r="71" spans="2:30" ht="15.75" thickBot="1" x14ac:dyDescent="0.3"/>
    <row r="72" spans="2:30" ht="15.75" thickBot="1" x14ac:dyDescent="0.3">
      <c r="B72" s="66" t="s">
        <v>85</v>
      </c>
      <c r="C72" s="134" t="s">
        <v>5</v>
      </c>
      <c r="D72" s="134"/>
      <c r="E72" s="134"/>
      <c r="F72" s="134"/>
      <c r="G72" s="134"/>
      <c r="H72" s="134"/>
      <c r="I72" s="134"/>
      <c r="J72" s="134" t="s">
        <v>6</v>
      </c>
      <c r="K72" s="134"/>
      <c r="L72" s="134"/>
      <c r="M72" s="134"/>
      <c r="N72" s="134"/>
      <c r="O72" s="134"/>
      <c r="P72" s="134"/>
      <c r="Q72" s="134" t="s">
        <v>7</v>
      </c>
      <c r="R72" s="134"/>
      <c r="S72" s="134"/>
      <c r="T72" s="134"/>
      <c r="U72" s="134"/>
      <c r="V72" s="134"/>
      <c r="W72" s="134"/>
      <c r="X72" s="136" t="s">
        <v>8</v>
      </c>
      <c r="Y72" s="137"/>
      <c r="Z72" s="137"/>
      <c r="AA72" s="137"/>
      <c r="AB72" s="137"/>
      <c r="AC72" s="137"/>
      <c r="AD72" s="138"/>
    </row>
    <row r="73" spans="2:30" x14ac:dyDescent="0.25">
      <c r="B73" s="67" t="s">
        <v>86</v>
      </c>
      <c r="C73" s="71">
        <f>C51</f>
        <v>0</v>
      </c>
      <c r="D73" s="84">
        <f t="shared" ref="D73:I73" si="26">D51</f>
        <v>0</v>
      </c>
      <c r="E73" s="84">
        <f t="shared" si="26"/>
        <v>0</v>
      </c>
      <c r="F73" s="84">
        <f t="shared" si="26"/>
        <v>0</v>
      </c>
      <c r="G73" s="84">
        <f t="shared" si="26"/>
        <v>0</v>
      </c>
      <c r="H73" s="84">
        <f t="shared" si="26"/>
        <v>0.25</v>
      </c>
      <c r="I73" s="84">
        <f t="shared" si="26"/>
        <v>0.75</v>
      </c>
      <c r="J73" s="84">
        <f>J51</f>
        <v>0</v>
      </c>
      <c r="K73" s="84">
        <f t="shared" ref="K73:P73" si="27">K51</f>
        <v>0</v>
      </c>
      <c r="L73" s="84">
        <f t="shared" si="27"/>
        <v>0.75</v>
      </c>
      <c r="M73" s="84">
        <f t="shared" si="27"/>
        <v>0.25</v>
      </c>
      <c r="N73" s="84">
        <f t="shared" si="27"/>
        <v>0</v>
      </c>
      <c r="O73" s="84">
        <f t="shared" si="27"/>
        <v>0</v>
      </c>
      <c r="P73" s="84">
        <f t="shared" si="27"/>
        <v>0</v>
      </c>
      <c r="Q73" s="84">
        <f t="shared" ref="Q73:W74" si="28">Q49</f>
        <v>0</v>
      </c>
      <c r="R73" s="84">
        <f t="shared" si="28"/>
        <v>0</v>
      </c>
      <c r="S73" s="84">
        <f t="shared" si="28"/>
        <v>0.75</v>
      </c>
      <c r="T73" s="84">
        <f t="shared" si="28"/>
        <v>0.25</v>
      </c>
      <c r="U73" s="84">
        <f t="shared" si="28"/>
        <v>0</v>
      </c>
      <c r="V73" s="84">
        <f t="shared" si="28"/>
        <v>0</v>
      </c>
      <c r="W73" s="84">
        <f t="shared" si="28"/>
        <v>0</v>
      </c>
      <c r="X73" s="84">
        <f>X50</f>
        <v>0</v>
      </c>
      <c r="Y73" s="84">
        <f t="shared" ref="Y73:AD73" si="29">Y50</f>
        <v>0</v>
      </c>
      <c r="Z73" s="84">
        <f t="shared" si="29"/>
        <v>0</v>
      </c>
      <c r="AA73" s="84">
        <f t="shared" si="29"/>
        <v>0</v>
      </c>
      <c r="AB73" s="84">
        <f t="shared" si="29"/>
        <v>0</v>
      </c>
      <c r="AC73" s="84">
        <f t="shared" si="29"/>
        <v>0.25</v>
      </c>
      <c r="AD73" s="85">
        <f t="shared" si="29"/>
        <v>0.75</v>
      </c>
    </row>
    <row r="74" spans="2:30" ht="15.75" thickBot="1" x14ac:dyDescent="0.3">
      <c r="B74" s="68" t="s">
        <v>87</v>
      </c>
      <c r="C74" s="72">
        <f>C49</f>
        <v>0</v>
      </c>
      <c r="D74" s="86">
        <f t="shared" ref="D74:I74" si="30">D49</f>
        <v>0</v>
      </c>
      <c r="E74" s="86">
        <f t="shared" si="30"/>
        <v>0</v>
      </c>
      <c r="F74" s="86">
        <f t="shared" si="30"/>
        <v>0.25</v>
      </c>
      <c r="G74" s="86">
        <f t="shared" si="30"/>
        <v>0.75</v>
      </c>
      <c r="H74" s="86">
        <f t="shared" si="30"/>
        <v>0</v>
      </c>
      <c r="I74" s="86">
        <f t="shared" si="30"/>
        <v>0</v>
      </c>
      <c r="J74" s="86">
        <f>J49</f>
        <v>0.75</v>
      </c>
      <c r="K74" s="86">
        <f t="shared" ref="K74:P74" si="31">K49</f>
        <v>0.25</v>
      </c>
      <c r="L74" s="86">
        <f t="shared" si="31"/>
        <v>0</v>
      </c>
      <c r="M74" s="86">
        <f t="shared" si="31"/>
        <v>0</v>
      </c>
      <c r="N74" s="86">
        <f t="shared" si="31"/>
        <v>0</v>
      </c>
      <c r="O74" s="86">
        <f t="shared" si="31"/>
        <v>0</v>
      </c>
      <c r="P74" s="86">
        <f t="shared" si="31"/>
        <v>0</v>
      </c>
      <c r="Q74" s="86">
        <f t="shared" si="28"/>
        <v>0.75</v>
      </c>
      <c r="R74" s="86">
        <f t="shared" si="28"/>
        <v>0.25</v>
      </c>
      <c r="S74" s="86">
        <f t="shared" si="28"/>
        <v>0</v>
      </c>
      <c r="T74" s="86">
        <f t="shared" si="28"/>
        <v>0</v>
      </c>
      <c r="U74" s="86">
        <f t="shared" si="28"/>
        <v>0</v>
      </c>
      <c r="V74" s="86">
        <f t="shared" si="28"/>
        <v>0</v>
      </c>
      <c r="W74" s="86">
        <f t="shared" si="28"/>
        <v>0</v>
      </c>
      <c r="X74" s="86">
        <f>X49</f>
        <v>0</v>
      </c>
      <c r="Y74" s="86">
        <f t="shared" ref="Y74:AD74" si="32">Y49</f>
        <v>0</v>
      </c>
      <c r="Z74" s="86">
        <f t="shared" si="32"/>
        <v>0.25</v>
      </c>
      <c r="AA74" s="86">
        <f t="shared" si="32"/>
        <v>0.75</v>
      </c>
      <c r="AB74" s="86">
        <f t="shared" si="32"/>
        <v>0</v>
      </c>
      <c r="AC74" s="86">
        <f t="shared" si="32"/>
        <v>0</v>
      </c>
      <c r="AD74" s="87">
        <f t="shared" si="32"/>
        <v>0</v>
      </c>
    </row>
    <row r="75" spans="2:30" ht="15.75" thickBot="1" x14ac:dyDescent="0.3"/>
    <row r="76" spans="2:30" ht="15.75" thickBot="1" x14ac:dyDescent="0.3">
      <c r="B76" s="73" t="s">
        <v>88</v>
      </c>
      <c r="C76" s="78" t="s">
        <v>5</v>
      </c>
      <c r="D76" s="78" t="s">
        <v>6</v>
      </c>
      <c r="E76" s="78" t="s">
        <v>7</v>
      </c>
      <c r="F76" s="80" t="s">
        <v>8</v>
      </c>
      <c r="G76" s="82"/>
      <c r="I76" s="73" t="s">
        <v>90</v>
      </c>
      <c r="J76" s="78" t="s">
        <v>5</v>
      </c>
      <c r="K76" s="78" t="s">
        <v>6</v>
      </c>
      <c r="L76" s="78" t="s">
        <v>7</v>
      </c>
      <c r="M76" s="78" t="s">
        <v>8</v>
      </c>
      <c r="N76" s="79" t="s">
        <v>89</v>
      </c>
    </row>
    <row r="77" spans="2:30" x14ac:dyDescent="0.25">
      <c r="B77" s="74" t="s">
        <v>1</v>
      </c>
      <c r="C77" s="28">
        <f>(1/7)*ABS(SUMPRODUCT($M$56:$S$56,$C$73:$I$73)-SUMPRODUCT($M$56:$S$56,C49:I49))</f>
        <v>0.2857142857142857</v>
      </c>
      <c r="D77" s="45">
        <f>(1/7)*ABS(SUMPRODUCT($M$56:$S$56,$J$73:$P$73)-SUMPRODUCT($M$56:$S$56,J49:P49))</f>
        <v>0.2857142857142857</v>
      </c>
      <c r="E77" s="45">
        <f>(1/7)*ABS(SUMPRODUCT($M$56:$S$56,$Q$73:$W$73)-SUMPRODUCT($M$56:$S$56,Q49:W49))</f>
        <v>0</v>
      </c>
      <c r="F77" s="46">
        <f>(1/7)*ABS(SUMPRODUCT($M$56:$S$56,$X$73:$AD$73)-SUMPRODUCT($M$56:$S$56,X49:AD49))</f>
        <v>0.42857142857142855</v>
      </c>
      <c r="G77" s="15"/>
      <c r="I77" s="74" t="s">
        <v>1</v>
      </c>
      <c r="J77" s="28">
        <f>C77^2</f>
        <v>8.1632653061224483E-2</v>
      </c>
      <c r="K77" s="45">
        <f t="shared" ref="K77:M80" si="33">D77^2</f>
        <v>8.1632653061224483E-2</v>
      </c>
      <c r="L77" s="45">
        <f t="shared" si="33"/>
        <v>0</v>
      </c>
      <c r="M77" s="45">
        <f t="shared" si="33"/>
        <v>0.18367346938775508</v>
      </c>
      <c r="N77" s="46">
        <f>(SUMPRODUCT($J$64:$M$64,J77:M77))^(1/2)</f>
        <v>0.29450754468697571</v>
      </c>
    </row>
    <row r="78" spans="2:30" x14ac:dyDescent="0.25">
      <c r="B78" s="74" t="s">
        <v>2</v>
      </c>
      <c r="C78" s="1">
        <f>(1/7)*ABS(SUMPRODUCT($M$56:$S$56,$C$73:$I$73)-SUMPRODUCT($M$56:$S$56,C50:I50))</f>
        <v>0.14285714285714285</v>
      </c>
      <c r="D78" s="17">
        <f>(1/7)*ABS(SUMPRODUCT($M$56:$S$56,$J$73:$P$73)-SUMPRODUCT($M$56:$S$56,J50:P50))</f>
        <v>0.14285714285714285</v>
      </c>
      <c r="E78" s="17">
        <f>(1/7)*ABS(SUMPRODUCT($M$56:$S$56,$Q$73:$W$73)-SUMPRODUCT($M$56:$S$56,Q50:W50))</f>
        <v>0.2857142857142857</v>
      </c>
      <c r="F78" s="47">
        <f>(1/7)*ABS(SUMPRODUCT($M$56:$S$56,$X$73:$AD$73)-SUMPRODUCT($M$56:$S$56,X50:AD50))</f>
        <v>0</v>
      </c>
      <c r="G78" s="15"/>
      <c r="I78" s="74" t="s">
        <v>2</v>
      </c>
      <c r="J78" s="1">
        <f t="shared" ref="J78:J80" si="34">C78^2</f>
        <v>2.0408163265306121E-2</v>
      </c>
      <c r="K78" s="17">
        <f t="shared" si="33"/>
        <v>2.0408163265306121E-2</v>
      </c>
      <c r="L78" s="17">
        <f t="shared" si="33"/>
        <v>8.1632653061224483E-2</v>
      </c>
      <c r="M78" s="17">
        <f t="shared" si="33"/>
        <v>0</v>
      </c>
      <c r="N78" s="47">
        <f t="shared" ref="N78:N80" si="35">(SUMPRODUCT($J$64:$M$64,J78:M78))^(1/2)</f>
        <v>0.1749635530559413</v>
      </c>
    </row>
    <row r="79" spans="2:30" x14ac:dyDescent="0.25">
      <c r="B79" s="74" t="s">
        <v>3</v>
      </c>
      <c r="C79" s="1">
        <f>(1/7)*ABS(SUMPRODUCT($M$56:$S$56,$C$73:$I$73)-SUMPRODUCT($M$56:$S$56,C51:I51))</f>
        <v>0</v>
      </c>
      <c r="D79" s="17">
        <f>(1/7)*ABS(SUMPRODUCT($M$56:$S$56,$J$73:$P$73)-SUMPRODUCT($M$56:$S$56,J51:P51))</f>
        <v>0</v>
      </c>
      <c r="E79" s="17">
        <f>(1/7)*ABS(SUMPRODUCT($M$56:$S$56,$Q$73:$W$73)-SUMPRODUCT($M$56:$S$56,Q51:W51))</f>
        <v>0.21428571428571427</v>
      </c>
      <c r="F79" s="47">
        <f>(1/7)*ABS(SUMPRODUCT($M$56:$S$56,$X$73:$AD$73)-SUMPRODUCT($M$56:$S$56,X51:AD51))</f>
        <v>0.21428571428571427</v>
      </c>
      <c r="G79" s="15"/>
      <c r="I79" s="74" t="s">
        <v>3</v>
      </c>
      <c r="J79" s="1">
        <f t="shared" si="34"/>
        <v>0</v>
      </c>
      <c r="K79" s="17">
        <f t="shared" si="33"/>
        <v>0</v>
      </c>
      <c r="L79" s="17">
        <f t="shared" si="33"/>
        <v>4.5918367346938771E-2</v>
      </c>
      <c r="M79" s="17">
        <f t="shared" si="33"/>
        <v>4.5918367346938771E-2</v>
      </c>
      <c r="N79" s="47">
        <f t="shared" si="35"/>
        <v>0.15152288168283159</v>
      </c>
    </row>
    <row r="80" spans="2:30" x14ac:dyDescent="0.25">
      <c r="B80" s="88" t="s">
        <v>4</v>
      </c>
      <c r="C80" s="89">
        <f>(1/7)*ABS(SUMPRODUCT($M$56:$S$56,$C$73:$I$73)-SUMPRODUCT($M$56:$S$56,C52:I52))</f>
        <v>0.14285714285714285</v>
      </c>
      <c r="D80" s="90">
        <f>(1/7)*ABS(SUMPRODUCT($M$56:$S$56,$J$73:$P$73)-SUMPRODUCT($M$56:$S$56,J52:P52))</f>
        <v>0.10714285714285714</v>
      </c>
      <c r="E80" s="90">
        <f>(1/7)*ABS(SUMPRODUCT($M$56:$S$56,$Q$73:$W$73)-SUMPRODUCT($M$56:$S$56,Q52:W52))</f>
        <v>0</v>
      </c>
      <c r="F80" s="91">
        <f>(1/7)*ABS(SUMPRODUCT($M$56:$S$56,$X$73:$AD$73)-SUMPRODUCT($M$56:$S$56,X52:AD52))</f>
        <v>0.25</v>
      </c>
      <c r="G80" s="15"/>
      <c r="I80" s="88" t="s">
        <v>4</v>
      </c>
      <c r="J80" s="89">
        <f t="shared" si="34"/>
        <v>2.0408163265306121E-2</v>
      </c>
      <c r="K80" s="90">
        <f t="shared" si="33"/>
        <v>1.1479591836734693E-2</v>
      </c>
      <c r="L80" s="90">
        <f t="shared" si="33"/>
        <v>0</v>
      </c>
      <c r="M80" s="90">
        <f t="shared" si="33"/>
        <v>6.25E-2</v>
      </c>
      <c r="N80" s="91">
        <f t="shared" si="35"/>
        <v>0.15361295119718976</v>
      </c>
    </row>
    <row r="81" spans="2:14" ht="15.75" thickBot="1" x14ac:dyDescent="0.3">
      <c r="B81" s="92" t="s">
        <v>96</v>
      </c>
      <c r="C81" s="117">
        <f>(1/7)*ABS(SUMPRODUCT($M$56:$S$56,$C$73:$I$73)-SUMPRODUCT($M$56:$S$56,C53:I53))</f>
        <v>0</v>
      </c>
      <c r="D81" s="118">
        <f>(1/7)*ABS(SUMPRODUCT($M$56:$S$56,$J$73:$P$73)-SUMPRODUCT($M$56:$S$56,J53:P53))</f>
        <v>0</v>
      </c>
      <c r="E81" s="118">
        <f>(1/7)*ABS(SUMPRODUCT($M$56:$S$56,$Q$73:$W$73)-SUMPRODUCT($M$56:$S$56,Q53:W53))</f>
        <v>0</v>
      </c>
      <c r="F81" s="119">
        <f>(1/7)*ABS(SUMPRODUCT($M$56:$S$56,$X$73:$AD$73)-SUMPRODUCT($M$56:$S$56,X53:AD53))</f>
        <v>0</v>
      </c>
      <c r="G81" s="15"/>
      <c r="I81" s="92" t="s">
        <v>96</v>
      </c>
      <c r="J81" s="117">
        <f t="shared" ref="J81" si="36">C81^2</f>
        <v>0</v>
      </c>
      <c r="K81" s="118">
        <f t="shared" ref="K81" si="37">D81^2</f>
        <v>0</v>
      </c>
      <c r="L81" s="118">
        <f t="shared" ref="L81" si="38">E81^2</f>
        <v>0</v>
      </c>
      <c r="M81" s="118">
        <f t="shared" ref="M81" si="39">F81^2</f>
        <v>0</v>
      </c>
      <c r="N81" s="119">
        <f t="shared" ref="N81" si="40">(SUMPRODUCT($J$64:$M$64,J81:M81))^(1/2)</f>
        <v>0</v>
      </c>
    </row>
    <row r="82" spans="2:14" ht="15.75" thickBot="1" x14ac:dyDescent="0.3"/>
    <row r="83" spans="2:14" ht="15.75" thickBot="1" x14ac:dyDescent="0.3">
      <c r="B83" s="73" t="s">
        <v>91</v>
      </c>
      <c r="C83" s="78" t="s">
        <v>5</v>
      </c>
      <c r="D83" s="78" t="s">
        <v>6</v>
      </c>
      <c r="E83" s="78" t="s">
        <v>7</v>
      </c>
      <c r="F83" s="80" t="s">
        <v>8</v>
      </c>
      <c r="G83" s="82"/>
      <c r="I83" s="73" t="s">
        <v>92</v>
      </c>
      <c r="J83" s="78" t="s">
        <v>5</v>
      </c>
      <c r="K83" s="78" t="s">
        <v>6</v>
      </c>
      <c r="L83" s="78" t="s">
        <v>7</v>
      </c>
      <c r="M83" s="78" t="s">
        <v>8</v>
      </c>
      <c r="N83" s="79" t="s">
        <v>89</v>
      </c>
    </row>
    <row r="84" spans="2:14" x14ac:dyDescent="0.25">
      <c r="B84" s="74" t="s">
        <v>1</v>
      </c>
      <c r="C84" s="28">
        <f>(1/7)*ABS(SUMPRODUCT($M$56:$S$56,$C$74:$I$74)-SUMPRODUCT($M$56:$S$56,C49:I49))</f>
        <v>0</v>
      </c>
      <c r="D84" s="45">
        <f>(1/7)*ABS(SUMPRODUCT($M$56:$S$56,$J$74:$P$74)-SUMPRODUCT($M$56:$S$56,J49:P49))</f>
        <v>0</v>
      </c>
      <c r="E84" s="45">
        <f>(1/7)*ABS(SUMPRODUCT($M$56:$S$56,$Q$74:$W$74)-SUMPRODUCT($M$56:$S$56,Q49:W49))</f>
        <v>0.2857142857142857</v>
      </c>
      <c r="F84" s="46">
        <f>(1/7)*ABS(SUMPRODUCT($M$56:$S$56,$X$74:$AD$74)-SUMPRODUCT($M$56:$S$56,X49:AD49))</f>
        <v>0</v>
      </c>
      <c r="G84" s="15"/>
      <c r="I84" s="74" t="s">
        <v>1</v>
      </c>
      <c r="J84" s="28">
        <f>C84^2</f>
        <v>0</v>
      </c>
      <c r="K84" s="45">
        <f t="shared" ref="K84:M87" si="41">D84^2</f>
        <v>0</v>
      </c>
      <c r="L84" s="45">
        <f t="shared" si="41"/>
        <v>8.1632653061224483E-2</v>
      </c>
      <c r="M84" s="45">
        <f t="shared" si="41"/>
        <v>0</v>
      </c>
      <c r="N84" s="46">
        <f>(SUMPRODUCT($J$64:$M$64,J84:M84))^(1/2)</f>
        <v>0.14285714285714285</v>
      </c>
    </row>
    <row r="85" spans="2:14" x14ac:dyDescent="0.25">
      <c r="B85" s="74" t="s">
        <v>2</v>
      </c>
      <c r="C85" s="1">
        <f>(1/7)*ABS(SUMPRODUCT($M$56:$S$56,$C$74:$I$74)-SUMPRODUCT($M$56:$S$56,C50:I50))</f>
        <v>0.14285714285714285</v>
      </c>
      <c r="D85" s="17">
        <f>(1/7)*ABS(SUMPRODUCT($M$56:$S$56,$J$74:$P$74)-SUMPRODUCT($M$56:$S$56,J50:P50))</f>
        <v>0.14285714285714285</v>
      </c>
      <c r="E85" s="17">
        <f>(1/7)*ABS(SUMPRODUCT($M$56:$S$56,$Q$74:$W$74)-SUMPRODUCT($M$56:$S$56,Q50:W50))</f>
        <v>0</v>
      </c>
      <c r="F85" s="47">
        <f>(1/7)*ABS(SUMPRODUCT($M$56:$S$56,$X$74:$AD$74)-SUMPRODUCT($M$56:$S$56,X50:AD50))</f>
        <v>0.42857142857142855</v>
      </c>
      <c r="G85" s="15"/>
      <c r="I85" s="74" t="s">
        <v>2</v>
      </c>
      <c r="J85" s="1">
        <f t="shared" ref="J85:J87" si="42">C85^2</f>
        <v>2.0408163265306121E-2</v>
      </c>
      <c r="K85" s="17">
        <f t="shared" si="41"/>
        <v>2.0408163265306121E-2</v>
      </c>
      <c r="L85" s="17">
        <f t="shared" si="41"/>
        <v>0</v>
      </c>
      <c r="M85" s="17">
        <f t="shared" si="41"/>
        <v>0.18367346938775508</v>
      </c>
      <c r="N85" s="47">
        <f t="shared" ref="N85:N87" si="43">(SUMPRODUCT($J$64:$M$64,J85:M85))^(1/2)</f>
        <v>0.23690177073967139</v>
      </c>
    </row>
    <row r="86" spans="2:14" x14ac:dyDescent="0.25">
      <c r="B86" s="74" t="s">
        <v>3</v>
      </c>
      <c r="C86" s="1">
        <f>(1/7)*ABS(SUMPRODUCT($M$56:$S$56,$C$74:$I$74)-SUMPRODUCT($M$56:$S$56,C51:I51))</f>
        <v>0.2857142857142857</v>
      </c>
      <c r="D86" s="17">
        <f>(1/7)*ABS(SUMPRODUCT($M$56:$S$56,$J$74:$P$74)-SUMPRODUCT($M$56:$S$56,J51:P51))</f>
        <v>0.2857142857142857</v>
      </c>
      <c r="E86" s="17">
        <f>(1/7)*ABS(SUMPRODUCT($M$56:$S$56,$Q$74:$W$74)-SUMPRODUCT($M$56:$S$56,Q51:W51))</f>
        <v>7.1428571428571425E-2</v>
      </c>
      <c r="F86" s="47">
        <f>(1/7)*ABS(SUMPRODUCT($M$56:$S$56,$X$74:$AD$74)-SUMPRODUCT($M$56:$S$56,X51:AD51))</f>
        <v>0.21428571428571427</v>
      </c>
      <c r="G86" s="15"/>
      <c r="I86" s="74" t="s">
        <v>3</v>
      </c>
      <c r="J86" s="1">
        <f t="shared" si="42"/>
        <v>8.1632653061224483E-2</v>
      </c>
      <c r="K86" s="17">
        <f t="shared" si="41"/>
        <v>8.1632653061224483E-2</v>
      </c>
      <c r="L86" s="17">
        <f t="shared" si="41"/>
        <v>5.1020408163265302E-3</v>
      </c>
      <c r="M86" s="17">
        <f t="shared" si="41"/>
        <v>4.5918367346938771E-2</v>
      </c>
      <c r="N86" s="47">
        <f t="shared" si="43"/>
        <v>0.23145502494313785</v>
      </c>
    </row>
    <row r="87" spans="2:14" x14ac:dyDescent="0.25">
      <c r="B87" s="88" t="s">
        <v>4</v>
      </c>
      <c r="C87" s="1">
        <f>(1/7)*ABS(SUMPRODUCT($M$56:$S$56,$C$74:$I$74)-SUMPRODUCT($M$56:$S$56,C52:I52))</f>
        <v>0.14285714285714285</v>
      </c>
      <c r="D87" s="17">
        <f>(1/7)*ABS(SUMPRODUCT($M$56:$S$56,$J$74:$P$74)-SUMPRODUCT($M$56:$S$56,J52:P52))</f>
        <v>0.17857142857142855</v>
      </c>
      <c r="E87" s="17">
        <f>(1/7)*ABS(SUMPRODUCT($M$56:$S$56,$Q$74:$W$74)-SUMPRODUCT($M$56:$S$56,Q52:W52))</f>
        <v>0.2857142857142857</v>
      </c>
      <c r="F87" s="47">
        <f>(1/7)*ABS(SUMPRODUCT($M$56:$S$56,$X$74:$AD$74)-SUMPRODUCT($M$56:$S$56,X52:AD52))</f>
        <v>0.17857142857142855</v>
      </c>
      <c r="G87" s="15"/>
      <c r="I87" s="88" t="s">
        <v>4</v>
      </c>
      <c r="J87" s="89">
        <f t="shared" si="42"/>
        <v>2.0408163265306121E-2</v>
      </c>
      <c r="K87" s="90">
        <f t="shared" si="41"/>
        <v>3.188775510204081E-2</v>
      </c>
      <c r="L87" s="90">
        <f t="shared" si="41"/>
        <v>8.1632653061224483E-2</v>
      </c>
      <c r="M87" s="90">
        <f t="shared" si="41"/>
        <v>3.188775510204081E-2</v>
      </c>
      <c r="N87" s="91">
        <f t="shared" si="43"/>
        <v>0.20360275448198889</v>
      </c>
    </row>
    <row r="88" spans="2:14" ht="15.75" thickBot="1" x14ac:dyDescent="0.3">
      <c r="B88" s="120" t="s">
        <v>96</v>
      </c>
      <c r="C88" s="117">
        <f>(1/7)*ABS(SUMPRODUCT($M$56:$S$56,$C$74:$I$74)-SUMPRODUCT($M$56:$S$56,C53:I53))</f>
        <v>0.2857142857142857</v>
      </c>
      <c r="D88" s="118">
        <f>(1/7)*ABS(SUMPRODUCT($M$56:$S$56,$J$74:$P$74)-SUMPRODUCT($M$56:$S$56,J53:P53))</f>
        <v>0.2857142857142857</v>
      </c>
      <c r="E88" s="118">
        <f>(1/7)*ABS(SUMPRODUCT($M$56:$S$56,$Q$74:$W$74)-SUMPRODUCT($M$56:$S$56,Q53:W53))</f>
        <v>0.2857142857142857</v>
      </c>
      <c r="F88" s="119">
        <f>(1/7)*ABS(SUMPRODUCT($M$56:$S$56,$X$74:$AD$74)-SUMPRODUCT($M$56:$S$56,X53:AD53))</f>
        <v>0.42857142857142855</v>
      </c>
      <c r="G88" s="15"/>
      <c r="I88" s="92" t="s">
        <v>96</v>
      </c>
      <c r="J88" s="117">
        <f t="shared" ref="J88" si="44">C88^2</f>
        <v>8.1632653061224483E-2</v>
      </c>
      <c r="K88" s="118">
        <f t="shared" ref="K88" si="45">D88^2</f>
        <v>8.1632653061224483E-2</v>
      </c>
      <c r="L88" s="118">
        <f t="shared" ref="L88" si="46">E88^2</f>
        <v>8.1632653061224483E-2</v>
      </c>
      <c r="M88" s="118">
        <f t="shared" ref="M88" si="47">F88^2</f>
        <v>0.18367346938775508</v>
      </c>
      <c r="N88" s="119">
        <f t="shared" ref="N88" si="48">(SUMPRODUCT($J$64:$M$64,J88:M88))^(1/2)</f>
        <v>0.32732683535398854</v>
      </c>
    </row>
    <row r="90" spans="2:14" ht="15.75" thickBot="1" x14ac:dyDescent="0.3"/>
    <row r="91" spans="2:14" ht="15.75" thickBot="1" x14ac:dyDescent="0.3">
      <c r="B91" s="73" t="s">
        <v>93</v>
      </c>
      <c r="C91" s="76" t="s">
        <v>94</v>
      </c>
      <c r="D91" s="77" t="s">
        <v>95</v>
      </c>
    </row>
    <row r="92" spans="2:14" x14ac:dyDescent="0.25">
      <c r="B92" s="74" t="s">
        <v>1</v>
      </c>
      <c r="C92" s="28">
        <f>(N84)/(N77+N84)</f>
        <v>0.32663163471040935</v>
      </c>
      <c r="D92" s="46">
        <f>RANK(C92,$C$92:$C$96)</f>
        <v>5</v>
      </c>
    </row>
    <row r="93" spans="2:14" x14ac:dyDescent="0.25">
      <c r="B93" s="74" t="s">
        <v>2</v>
      </c>
      <c r="C93" s="1">
        <f>(N85)/(N78+N85)</f>
        <v>0.57519231907280788</v>
      </c>
      <c r="D93" s="47">
        <f t="shared" ref="D93:D96" si="49">RANK(C93,$C$92:$C$96)</f>
        <v>3</v>
      </c>
    </row>
    <row r="94" spans="2:14" x14ac:dyDescent="0.25">
      <c r="B94" s="74" t="s">
        <v>3</v>
      </c>
      <c r="C94" s="1">
        <f>(N86)/(N79+N86)</f>
        <v>0.60435607626104004</v>
      </c>
      <c r="D94" s="47">
        <f t="shared" si="49"/>
        <v>2</v>
      </c>
    </row>
    <row r="95" spans="2:14" x14ac:dyDescent="0.25">
      <c r="B95" s="88" t="s">
        <v>4</v>
      </c>
      <c r="C95" s="1">
        <f>(N87)/(N80+N87)</f>
        <v>0.56997145210868161</v>
      </c>
      <c r="D95" s="47">
        <f t="shared" si="49"/>
        <v>4</v>
      </c>
    </row>
    <row r="96" spans="2:14" ht="15.75" thickBot="1" x14ac:dyDescent="0.3">
      <c r="B96" s="120" t="s">
        <v>96</v>
      </c>
      <c r="C96" s="117">
        <f>(N88)/(N81+N88)</f>
        <v>1</v>
      </c>
      <c r="D96" s="119">
        <f t="shared" si="49"/>
        <v>1</v>
      </c>
    </row>
  </sheetData>
  <mergeCells count="26">
    <mergeCell ref="C48:I48"/>
    <mergeCell ref="J48:P48"/>
    <mergeCell ref="Q48:W48"/>
    <mergeCell ref="X48:AD48"/>
    <mergeCell ref="C72:I72"/>
    <mergeCell ref="J72:P72"/>
    <mergeCell ref="Q72:W72"/>
    <mergeCell ref="X72:AD72"/>
    <mergeCell ref="C35:I35"/>
    <mergeCell ref="J35:P35"/>
    <mergeCell ref="Q35:W35"/>
    <mergeCell ref="X35:AD35"/>
    <mergeCell ref="C42:I42"/>
    <mergeCell ref="J42:P42"/>
    <mergeCell ref="Q42:W42"/>
    <mergeCell ref="X42:AD42"/>
    <mergeCell ref="B2:B3"/>
    <mergeCell ref="C2:D2"/>
    <mergeCell ref="E2:F2"/>
    <mergeCell ref="G2:H2"/>
    <mergeCell ref="I2:J2"/>
    <mergeCell ref="B9:B10"/>
    <mergeCell ref="C9:D9"/>
    <mergeCell ref="E9:F9"/>
    <mergeCell ref="G9:H9"/>
    <mergeCell ref="I9:J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6"/>
  <sheetViews>
    <sheetView topLeftCell="A73" zoomScaleNormal="100" workbookViewId="0">
      <selection activeCell="I92" sqref="I92"/>
    </sheetView>
  </sheetViews>
  <sheetFormatPr defaultRowHeight="15" x14ac:dyDescent="0.25"/>
  <cols>
    <col min="2" max="2" width="17" bestFit="1" customWidth="1"/>
    <col min="3" max="3" width="11" customWidth="1"/>
    <col min="14" max="14" width="13.5703125" customWidth="1"/>
  </cols>
  <sheetData>
    <row r="1" spans="2:20" ht="15.75" thickBot="1" x14ac:dyDescent="0.3"/>
    <row r="2" spans="2:20" x14ac:dyDescent="0.25">
      <c r="B2" s="130" t="s">
        <v>0</v>
      </c>
      <c r="C2" s="132" t="s">
        <v>5</v>
      </c>
      <c r="D2" s="132"/>
      <c r="E2" s="132" t="s">
        <v>6</v>
      </c>
      <c r="F2" s="132"/>
      <c r="G2" s="132" t="s">
        <v>7</v>
      </c>
      <c r="H2" s="132"/>
      <c r="I2" s="132" t="s">
        <v>8</v>
      </c>
      <c r="J2" s="133"/>
      <c r="L2" s="20"/>
      <c r="M2" s="9"/>
      <c r="N2" s="9"/>
      <c r="O2" s="9"/>
      <c r="P2" s="9"/>
      <c r="Q2" s="9"/>
      <c r="R2" s="9"/>
      <c r="S2" s="9"/>
      <c r="T2" s="9"/>
    </row>
    <row r="3" spans="2:20" x14ac:dyDescent="0.25">
      <c r="B3" s="131"/>
      <c r="C3" s="6" t="s">
        <v>14</v>
      </c>
      <c r="D3" s="6" t="s">
        <v>15</v>
      </c>
      <c r="E3" s="6" t="s">
        <v>14</v>
      </c>
      <c r="F3" s="6" t="s">
        <v>15</v>
      </c>
      <c r="G3" s="6" t="s">
        <v>14</v>
      </c>
      <c r="H3" s="6" t="s">
        <v>15</v>
      </c>
      <c r="I3" s="6" t="s">
        <v>14</v>
      </c>
      <c r="J3" s="7" t="s">
        <v>15</v>
      </c>
      <c r="L3" s="20"/>
      <c r="M3" s="21"/>
      <c r="N3" s="21"/>
      <c r="O3" s="21"/>
      <c r="P3" s="21"/>
      <c r="Q3" s="21"/>
      <c r="R3" s="21"/>
      <c r="S3" s="21"/>
      <c r="T3" s="21"/>
    </row>
    <row r="4" spans="2:20" x14ac:dyDescent="0.25">
      <c r="B4" s="1" t="s">
        <v>1</v>
      </c>
      <c r="C4" s="3">
        <v>4</v>
      </c>
      <c r="D4" s="3">
        <v>4</v>
      </c>
      <c r="E4" s="3">
        <v>0</v>
      </c>
      <c r="F4" s="3">
        <v>0</v>
      </c>
      <c r="G4" s="3">
        <v>2</v>
      </c>
      <c r="H4" s="3">
        <v>2</v>
      </c>
      <c r="I4" s="3">
        <v>3</v>
      </c>
      <c r="J4" s="4">
        <v>3</v>
      </c>
      <c r="L4" s="11"/>
      <c r="M4" s="11"/>
      <c r="N4" s="11"/>
      <c r="O4" s="11"/>
      <c r="P4" s="11"/>
      <c r="Q4" s="11"/>
      <c r="R4" s="11"/>
      <c r="S4" s="11"/>
      <c r="T4" s="11"/>
    </row>
    <row r="5" spans="2:20" x14ac:dyDescent="0.25">
      <c r="B5" s="1" t="s">
        <v>2</v>
      </c>
      <c r="C5" s="3">
        <v>5</v>
      </c>
      <c r="D5" s="3">
        <v>5</v>
      </c>
      <c r="E5" s="3">
        <v>1</v>
      </c>
      <c r="F5" s="3">
        <v>1</v>
      </c>
      <c r="G5" s="3">
        <v>0</v>
      </c>
      <c r="H5" s="3">
        <v>0</v>
      </c>
      <c r="I5" s="3">
        <v>6</v>
      </c>
      <c r="J5" s="4">
        <v>6</v>
      </c>
      <c r="L5" s="11"/>
      <c r="M5" s="11"/>
      <c r="N5" s="11"/>
      <c r="O5" s="11"/>
      <c r="P5" s="11"/>
      <c r="Q5" s="11"/>
      <c r="R5" s="11"/>
      <c r="S5" s="11"/>
      <c r="T5" s="11"/>
    </row>
    <row r="6" spans="2:20" x14ac:dyDescent="0.25">
      <c r="B6" s="1" t="s">
        <v>3</v>
      </c>
      <c r="C6" s="3">
        <v>6</v>
      </c>
      <c r="D6" s="3">
        <v>6</v>
      </c>
      <c r="E6" s="3">
        <v>2</v>
      </c>
      <c r="F6" s="3">
        <v>2</v>
      </c>
      <c r="G6" s="3">
        <v>1</v>
      </c>
      <c r="H6" s="3">
        <v>1</v>
      </c>
      <c r="I6" s="3">
        <v>4</v>
      </c>
      <c r="J6" s="4">
        <v>4</v>
      </c>
      <c r="L6" s="11"/>
      <c r="M6" s="11"/>
      <c r="N6" s="11"/>
      <c r="O6" s="11"/>
      <c r="P6" s="11"/>
      <c r="Q6" s="11"/>
      <c r="R6" s="11"/>
      <c r="S6" s="11"/>
      <c r="T6" s="11"/>
    </row>
    <row r="7" spans="2:20" x14ac:dyDescent="0.25">
      <c r="B7" s="1" t="s">
        <v>4</v>
      </c>
      <c r="C7" s="3">
        <v>4</v>
      </c>
      <c r="D7" s="3">
        <v>4</v>
      </c>
      <c r="E7" s="3">
        <v>1</v>
      </c>
      <c r="F7" s="3">
        <v>1</v>
      </c>
      <c r="G7" s="3">
        <v>2</v>
      </c>
      <c r="H7" s="3">
        <v>2</v>
      </c>
      <c r="I7" s="3">
        <v>3</v>
      </c>
      <c r="J7" s="4">
        <v>3</v>
      </c>
      <c r="L7" s="11"/>
      <c r="M7" s="11"/>
      <c r="N7" s="11"/>
      <c r="O7" s="11"/>
      <c r="P7" s="11"/>
      <c r="Q7" s="11"/>
      <c r="R7" s="11"/>
      <c r="S7" s="11"/>
      <c r="T7" s="11"/>
    </row>
    <row r="8" spans="2:20" ht="15.75" thickBot="1" x14ac:dyDescent="0.3"/>
    <row r="9" spans="2:20" x14ac:dyDescent="0.25">
      <c r="B9" s="130" t="s">
        <v>9</v>
      </c>
      <c r="C9" s="132" t="s">
        <v>5</v>
      </c>
      <c r="D9" s="132"/>
      <c r="E9" s="132" t="s">
        <v>6</v>
      </c>
      <c r="F9" s="132"/>
      <c r="G9" s="132" t="s">
        <v>7</v>
      </c>
      <c r="H9" s="132"/>
      <c r="I9" s="132" t="s">
        <v>8</v>
      </c>
      <c r="J9" s="133"/>
    </row>
    <row r="10" spans="2:20" x14ac:dyDescent="0.25">
      <c r="B10" s="131"/>
      <c r="C10" s="6" t="s">
        <v>14</v>
      </c>
      <c r="D10" s="6" t="s">
        <v>15</v>
      </c>
      <c r="E10" s="6" t="s">
        <v>14</v>
      </c>
      <c r="F10" s="6" t="s">
        <v>15</v>
      </c>
      <c r="G10" s="6" t="s">
        <v>14</v>
      </c>
      <c r="H10" s="6" t="s">
        <v>15</v>
      </c>
      <c r="I10" s="6" t="s">
        <v>14</v>
      </c>
      <c r="J10" s="7" t="s">
        <v>15</v>
      </c>
    </row>
    <row r="11" spans="2:20" x14ac:dyDescent="0.25">
      <c r="B11" s="1" t="s">
        <v>1</v>
      </c>
      <c r="C11" s="3">
        <v>3</v>
      </c>
      <c r="D11" s="3">
        <v>4</v>
      </c>
      <c r="E11" s="3">
        <v>0</v>
      </c>
      <c r="F11" s="3">
        <v>1</v>
      </c>
      <c r="G11" s="3">
        <v>2</v>
      </c>
      <c r="H11" s="3">
        <v>3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1</v>
      </c>
      <c r="F12" s="3">
        <v>2</v>
      </c>
      <c r="G12" s="3">
        <v>0</v>
      </c>
      <c r="H12" s="3">
        <v>1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2</v>
      </c>
      <c r="F13" s="3">
        <v>3</v>
      </c>
      <c r="G13" s="3">
        <v>0</v>
      </c>
      <c r="H13" s="3">
        <v>1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2</v>
      </c>
      <c r="F14" s="3">
        <v>2</v>
      </c>
      <c r="G14" s="3">
        <v>2</v>
      </c>
      <c r="H14" s="3">
        <v>3</v>
      </c>
      <c r="I14" s="3">
        <v>5</v>
      </c>
      <c r="J14" s="4">
        <v>5</v>
      </c>
    </row>
    <row r="15" spans="2:20" ht="15.75" thickBot="1" x14ac:dyDescent="0.3"/>
    <row r="16" spans="2:20" x14ac:dyDescent="0.25">
      <c r="B16" s="39" t="s">
        <v>47</v>
      </c>
      <c r="C16" s="40" t="s">
        <v>5</v>
      </c>
      <c r="D16" s="40" t="s">
        <v>6</v>
      </c>
      <c r="E16" s="40" t="s">
        <v>7</v>
      </c>
      <c r="F16" s="41" t="s">
        <v>8</v>
      </c>
      <c r="G16" s="9"/>
      <c r="H16" s="39" t="s">
        <v>47</v>
      </c>
      <c r="I16" s="40" t="s">
        <v>5</v>
      </c>
      <c r="J16" s="40" t="s">
        <v>6</v>
      </c>
      <c r="K16" s="40" t="s">
        <v>7</v>
      </c>
      <c r="L16" s="41" t="s">
        <v>8</v>
      </c>
    </row>
    <row r="17" spans="2:12" x14ac:dyDescent="0.25">
      <c r="B17" s="42" t="s">
        <v>48</v>
      </c>
      <c r="C17" s="8">
        <f>ABS(MIN(C4:D4)-MIN(C4:D4))+ABS(MAX(C4:D4)-MAX(C4:D4))</f>
        <v>0</v>
      </c>
      <c r="D17" s="8">
        <f>ABS(MIN(E4:F4)-MIN(E4:F4))+ABS(MAX(E4:F4)-MAX(E4:F4))</f>
        <v>0</v>
      </c>
      <c r="E17" s="8">
        <f>ABS(MIN(G4:H4)-MIN(G4:H4))+ABS(MAX(G4:H4)-MAX(G4:H4))</f>
        <v>0</v>
      </c>
      <c r="F17" s="8">
        <f>ABS(MIN(I4:J4)-MIN(I4:J4))+ABS(MAX(I4:J4)-MAX(I4:J4))</f>
        <v>0</v>
      </c>
      <c r="G17" s="21"/>
      <c r="H17" s="42" t="s">
        <v>56</v>
      </c>
      <c r="I17" s="8">
        <f>C23</f>
        <v>1</v>
      </c>
      <c r="J17" s="8">
        <f>D23</f>
        <v>1</v>
      </c>
      <c r="K17" s="8">
        <f>E23</f>
        <v>1</v>
      </c>
      <c r="L17" s="8">
        <f>F23</f>
        <v>1</v>
      </c>
    </row>
    <row r="18" spans="2:12" x14ac:dyDescent="0.25">
      <c r="B18" s="43" t="s">
        <v>49</v>
      </c>
      <c r="C18" s="8">
        <f t="shared" ref="C18:C20" si="0">ABS(MIN(C5:D5)-MIN(C5:D5))+ABS(MAX(C5:D5)-MAX(C5:D5))</f>
        <v>0</v>
      </c>
      <c r="D18" s="8">
        <f t="shared" ref="D18:D20" si="1">ABS(MIN(E5:F5)-MIN(E5:F5))+ABS(MAX(E5:F5)-MAX(E5:F5))</f>
        <v>0</v>
      </c>
      <c r="E18" s="8">
        <f t="shared" ref="E18:E20" si="2">ABS(MIN(G5:H5)-MIN(G5:H5))+ABS(MAX(G5:H5)-MAX(G5:H5))</f>
        <v>0</v>
      </c>
      <c r="F18" s="8">
        <f t="shared" ref="F18:F20" si="3">ABS(MIN(I5:J5)-MIN(I5:J5))+ABS(MAX(I5:J5)-MAX(I5:J5))</f>
        <v>0</v>
      </c>
      <c r="G18" s="11"/>
      <c r="H18" s="43" t="s">
        <v>57</v>
      </c>
      <c r="I18" s="8">
        <f t="shared" ref="I18:L20" si="4">C24</f>
        <v>1</v>
      </c>
      <c r="J18" s="8">
        <f t="shared" si="4"/>
        <v>1</v>
      </c>
      <c r="K18" s="8">
        <f t="shared" si="4"/>
        <v>1</v>
      </c>
      <c r="L18" s="8">
        <f t="shared" si="4"/>
        <v>1</v>
      </c>
    </row>
    <row r="19" spans="2:12" x14ac:dyDescent="0.25">
      <c r="B19" s="43" t="s">
        <v>50</v>
      </c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11"/>
      <c r="H19" s="43" t="s">
        <v>58</v>
      </c>
      <c r="I19" s="8">
        <f t="shared" si="4"/>
        <v>1</v>
      </c>
      <c r="J19" s="8">
        <f t="shared" si="4"/>
        <v>1</v>
      </c>
      <c r="K19" s="8">
        <f t="shared" si="4"/>
        <v>1</v>
      </c>
      <c r="L19" s="8">
        <f t="shared" si="4"/>
        <v>1</v>
      </c>
    </row>
    <row r="20" spans="2:12" ht="15.75" thickBot="1" x14ac:dyDescent="0.3">
      <c r="B20" s="44" t="s">
        <v>51</v>
      </c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11"/>
      <c r="H20" s="44" t="s">
        <v>59</v>
      </c>
      <c r="I20" s="8">
        <f t="shared" si="4"/>
        <v>3</v>
      </c>
      <c r="J20" s="8">
        <f t="shared" si="4"/>
        <v>2</v>
      </c>
      <c r="K20" s="8">
        <f t="shared" si="4"/>
        <v>1</v>
      </c>
      <c r="L20" s="8">
        <f>F26</f>
        <v>4</v>
      </c>
    </row>
    <row r="21" spans="2:12" ht="15.75" thickBot="1" x14ac:dyDescent="0.3">
      <c r="B21" s="11"/>
      <c r="C21" s="11"/>
      <c r="D21" s="11"/>
      <c r="E21" s="11"/>
      <c r="F21" s="11"/>
      <c r="G21" s="11"/>
      <c r="H21" s="11"/>
      <c r="I21" s="11"/>
      <c r="J21" s="11"/>
    </row>
    <row r="22" spans="2:12" x14ac:dyDescent="0.25">
      <c r="B22" s="39" t="s">
        <v>47</v>
      </c>
      <c r="C22" s="40" t="s">
        <v>5</v>
      </c>
      <c r="D22" s="40" t="s">
        <v>6</v>
      </c>
      <c r="E22" s="40" t="s">
        <v>7</v>
      </c>
      <c r="F22" s="41" t="s">
        <v>8</v>
      </c>
      <c r="G22" s="11"/>
      <c r="H22" s="39" t="s">
        <v>47</v>
      </c>
      <c r="I22" s="40" t="s">
        <v>5</v>
      </c>
      <c r="J22" s="40" t="s">
        <v>6</v>
      </c>
      <c r="K22" s="40" t="s">
        <v>7</v>
      </c>
      <c r="L22" s="41" t="s">
        <v>8</v>
      </c>
    </row>
    <row r="23" spans="2:12" x14ac:dyDescent="0.25">
      <c r="B23" s="42" t="s">
        <v>52</v>
      </c>
      <c r="C23" s="8">
        <f>ABS(MIN(C11:D11)-MIN(C4:D4))+ABS(MAX(C11:D11)-MAX(C4:D4))</f>
        <v>1</v>
      </c>
      <c r="D23" s="8">
        <f>ABS(MIN(E11:F11)-MIN(E4:F4))+ABS(MAX(E11:F11)-MAX(E4:F4))</f>
        <v>1</v>
      </c>
      <c r="E23" s="8">
        <f>ABS(MIN(G11:H11)-MIN(G4:H4))+ABS(MAX(G11:H11)-MAX(G4:H4))</f>
        <v>1</v>
      </c>
      <c r="F23" s="8">
        <f>ABS(MIN(I11:J11)-MIN(I4:J4))+ABS(MAX(I11:J11)-MAX(I4:J4))</f>
        <v>1</v>
      </c>
      <c r="H23" s="42" t="s">
        <v>60</v>
      </c>
      <c r="I23" s="8">
        <f>ABS(MIN(C11:D11)-MIN(C11:D11))+ABS(MAX(C11:D11)-MAX(C11:D11))</f>
        <v>0</v>
      </c>
      <c r="J23" s="8">
        <f>ABS(MIN(E11:F11)-MIN(E11:F11))+ABS(MAX(E11:F11)-MAX(E11:F11))</f>
        <v>0</v>
      </c>
      <c r="K23" s="8">
        <f>ABS(MIN(G11:H11)-MIN(G11:H11))+ABS(MAX(G11:H11)-MAX(G11:H11))</f>
        <v>0</v>
      </c>
      <c r="L23" s="8">
        <f>ABS(MIN(I11:J11)-MIN(I11:J11))+ABS(MAX(I11:J11)-MAX(I11:J11))</f>
        <v>0</v>
      </c>
    </row>
    <row r="24" spans="2:12" x14ac:dyDescent="0.25">
      <c r="B24" s="43" t="s">
        <v>53</v>
      </c>
      <c r="C24" s="8">
        <f t="shared" ref="C24:C26" si="5">ABS(MIN(C12:D12)-MIN(C5:D5))+ABS(MAX(C12:D12)-MAX(C5:D5))</f>
        <v>1</v>
      </c>
      <c r="D24" s="8">
        <f t="shared" ref="D24:D26" si="6">ABS(MIN(E12:F12)-MIN(E5:F5))+ABS(MAX(E12:F12)-MAX(E5:F5))</f>
        <v>1</v>
      </c>
      <c r="E24" s="8">
        <f t="shared" ref="E24:E26" si="7">ABS(MIN(G12:H12)-MIN(G5:H5))+ABS(MAX(G12:H12)-MAX(G5:H5))</f>
        <v>1</v>
      </c>
      <c r="F24" s="8">
        <f t="shared" ref="F24:F25" si="8">ABS(MIN(I12:J12)-MIN(I5:J5))+ABS(MAX(I12:J12)-MAX(I5:J5))</f>
        <v>1</v>
      </c>
      <c r="H24" s="43" t="s">
        <v>61</v>
      </c>
      <c r="I24" s="8">
        <f t="shared" ref="I24:I26" si="9">ABS(MIN(C12:D12)-MIN(C12:D12))+ABS(MAX(C12:D12)-MAX(C12:D12))</f>
        <v>0</v>
      </c>
      <c r="J24" s="8">
        <f t="shared" ref="J24:J26" si="10">ABS(MIN(E12:F12)-MIN(E12:F12))+ABS(MAX(E12:F12)-MAX(E12:F12))</f>
        <v>0</v>
      </c>
      <c r="K24" s="8">
        <f t="shared" ref="K24:K25" si="11">ABS(MIN(G12:H12)-MIN(G12:H12))+ABS(MAX(G12:H12)-MAX(G12:H12))</f>
        <v>0</v>
      </c>
      <c r="L24" s="8">
        <f t="shared" ref="L24:L25" si="12">ABS(MIN(I12:J12)-MIN(I12:J12))+ABS(MAX(I12:J12)-MAX(I12:J12))</f>
        <v>0</v>
      </c>
    </row>
    <row r="25" spans="2:12" x14ac:dyDescent="0.25">
      <c r="B25" s="43" t="s">
        <v>54</v>
      </c>
      <c r="C25" s="8">
        <f t="shared" si="5"/>
        <v>1</v>
      </c>
      <c r="D25" s="8">
        <f t="shared" si="6"/>
        <v>1</v>
      </c>
      <c r="E25" s="8">
        <f t="shared" si="7"/>
        <v>1</v>
      </c>
      <c r="F25" s="8">
        <f t="shared" si="8"/>
        <v>1</v>
      </c>
      <c r="H25" s="43" t="s">
        <v>62</v>
      </c>
      <c r="I25" s="8">
        <f t="shared" si="9"/>
        <v>0</v>
      </c>
      <c r="J25" s="8">
        <f t="shared" si="10"/>
        <v>0</v>
      </c>
      <c r="K25" s="8">
        <f t="shared" si="11"/>
        <v>0</v>
      </c>
      <c r="L25" s="8">
        <f t="shared" si="12"/>
        <v>0</v>
      </c>
    </row>
    <row r="26" spans="2:12" ht="15.75" thickBot="1" x14ac:dyDescent="0.3">
      <c r="B26" s="44" t="s">
        <v>55</v>
      </c>
      <c r="C26" s="8">
        <f t="shared" si="5"/>
        <v>3</v>
      </c>
      <c r="D26" s="8">
        <f t="shared" si="6"/>
        <v>2</v>
      </c>
      <c r="E26" s="8">
        <f t="shared" si="7"/>
        <v>1</v>
      </c>
      <c r="F26" s="8">
        <f>ABS(MIN(I14:J14)-MIN(I7:J7))+ABS(MAX(I14:J14)-MAX(I7:J7))</f>
        <v>4</v>
      </c>
      <c r="H26" s="44" t="s">
        <v>63</v>
      </c>
      <c r="I26" s="8">
        <f t="shared" si="9"/>
        <v>0</v>
      </c>
      <c r="J26" s="8">
        <f t="shared" si="10"/>
        <v>0</v>
      </c>
      <c r="K26" s="8">
        <f>ABS(MIN(G14:H14)-MIN(G14:H14))+ABS(MAX(G14:H14)-MAX(G14:H14))</f>
        <v>0</v>
      </c>
      <c r="L26" s="8">
        <f>ABS(MIN(I14:J14)-MIN(I14:J14))+ABS(MAX(I14:J14)-MAX(I14:J14))</f>
        <v>0</v>
      </c>
    </row>
    <row r="28" spans="2:12" ht="15.75" thickBot="1" x14ac:dyDescent="0.3"/>
    <row r="29" spans="2:12" x14ac:dyDescent="0.25">
      <c r="B29" s="28" t="s">
        <v>64</v>
      </c>
      <c r="C29" s="45" t="s">
        <v>65</v>
      </c>
      <c r="D29" s="45" t="s">
        <v>66</v>
      </c>
      <c r="E29" s="45" t="s">
        <v>67</v>
      </c>
      <c r="F29" s="45" t="s">
        <v>68</v>
      </c>
      <c r="G29" s="46" t="s">
        <v>69</v>
      </c>
    </row>
    <row r="30" spans="2:12" x14ac:dyDescent="0.25">
      <c r="B30" s="1" t="s">
        <v>1</v>
      </c>
      <c r="C30" s="17">
        <f>SUM(C17:F17,C23:F23)</f>
        <v>4</v>
      </c>
      <c r="D30" s="17">
        <f>SUM(I17:L17,I23:L23)</f>
        <v>4</v>
      </c>
      <c r="E30" s="17">
        <f>SUM(C30:D30)</f>
        <v>8</v>
      </c>
      <c r="F30" s="17">
        <f>C30/E30</f>
        <v>0.5</v>
      </c>
      <c r="G30" s="47">
        <f>D30/E30</f>
        <v>0.5</v>
      </c>
    </row>
    <row r="31" spans="2:12" x14ac:dyDescent="0.25">
      <c r="B31" s="1" t="s">
        <v>2</v>
      </c>
      <c r="C31" s="17">
        <f t="shared" ref="C31:C33" si="13">SUM(C18:F18,C24:F24)</f>
        <v>4</v>
      </c>
      <c r="D31" s="17">
        <f t="shared" ref="D31:D33" si="14">SUM(I18:L18,I24:L24)</f>
        <v>4</v>
      </c>
      <c r="E31" s="17">
        <f t="shared" ref="E31:E33" si="15">SUM(C31:D31)</f>
        <v>8</v>
      </c>
      <c r="F31" s="17">
        <f t="shared" ref="F31:F33" si="16">C31/E31</f>
        <v>0.5</v>
      </c>
      <c r="G31" s="47">
        <f t="shared" ref="G31:G33" si="17">D31/E31</f>
        <v>0.5</v>
      </c>
    </row>
    <row r="32" spans="2:12" x14ac:dyDescent="0.25">
      <c r="B32" s="1" t="s">
        <v>3</v>
      </c>
      <c r="C32" s="17">
        <f t="shared" si="13"/>
        <v>4</v>
      </c>
      <c r="D32" s="17">
        <f t="shared" si="14"/>
        <v>4</v>
      </c>
      <c r="E32" s="17">
        <f t="shared" si="15"/>
        <v>8</v>
      </c>
      <c r="F32" s="17">
        <f t="shared" si="16"/>
        <v>0.5</v>
      </c>
      <c r="G32" s="47">
        <f t="shared" si="17"/>
        <v>0.5</v>
      </c>
    </row>
    <row r="33" spans="2:30" ht="15.75" thickBot="1" x14ac:dyDescent="0.3">
      <c r="B33" s="2" t="s">
        <v>4</v>
      </c>
      <c r="C33" s="35">
        <f t="shared" si="13"/>
        <v>10</v>
      </c>
      <c r="D33" s="35">
        <f t="shared" si="14"/>
        <v>10</v>
      </c>
      <c r="E33" s="35">
        <f t="shared" si="15"/>
        <v>20</v>
      </c>
      <c r="F33" s="35">
        <f t="shared" si="16"/>
        <v>0.5</v>
      </c>
      <c r="G33" s="48">
        <f t="shared" si="17"/>
        <v>0.5</v>
      </c>
    </row>
    <row r="34" spans="2:30" ht="15.75" thickBot="1" x14ac:dyDescent="0.3"/>
    <row r="35" spans="2:30" x14ac:dyDescent="0.25">
      <c r="B35" s="49" t="s">
        <v>70</v>
      </c>
      <c r="C35" s="127" t="s">
        <v>5</v>
      </c>
      <c r="D35" s="128"/>
      <c r="E35" s="128"/>
      <c r="F35" s="128"/>
      <c r="G35" s="128"/>
      <c r="H35" s="128"/>
      <c r="I35" s="129"/>
      <c r="J35" s="127" t="s">
        <v>6</v>
      </c>
      <c r="K35" s="128"/>
      <c r="L35" s="128"/>
      <c r="M35" s="128"/>
      <c r="N35" s="128"/>
      <c r="O35" s="128"/>
      <c r="P35" s="129"/>
      <c r="Q35" s="127" t="s">
        <v>7</v>
      </c>
      <c r="R35" s="128"/>
      <c r="S35" s="128"/>
      <c r="T35" s="128"/>
      <c r="U35" s="128"/>
      <c r="V35" s="128"/>
      <c r="W35" s="129"/>
      <c r="X35" s="127" t="s">
        <v>8</v>
      </c>
      <c r="Y35" s="128"/>
      <c r="Z35" s="128"/>
      <c r="AA35" s="128"/>
      <c r="AB35" s="128"/>
      <c r="AC35" s="128"/>
      <c r="AD35" s="129"/>
    </row>
    <row r="36" spans="2:30" x14ac:dyDescent="0.25">
      <c r="B36" s="50" t="s">
        <v>1</v>
      </c>
      <c r="C36" s="51">
        <v>0</v>
      </c>
      <c r="D36" s="51">
        <v>0</v>
      </c>
      <c r="E36" s="51">
        <v>0</v>
      </c>
      <c r="F36" s="51">
        <v>0</v>
      </c>
      <c r="G36" s="51">
        <v>1</v>
      </c>
      <c r="H36" s="51">
        <v>0</v>
      </c>
      <c r="I36" s="51">
        <v>0</v>
      </c>
      <c r="J36" s="51">
        <v>1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1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1</v>
      </c>
      <c r="AB36" s="51">
        <v>0</v>
      </c>
      <c r="AC36" s="51">
        <v>0</v>
      </c>
      <c r="AD36" s="51">
        <v>0</v>
      </c>
    </row>
    <row r="37" spans="2:30" x14ac:dyDescent="0.25">
      <c r="B37" s="50" t="s">
        <v>2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1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1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1</v>
      </c>
    </row>
    <row r="38" spans="2:30" x14ac:dyDescent="0.25">
      <c r="B38" s="50" t="s">
        <v>3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1</v>
      </c>
      <c r="AC38" s="51">
        <v>0</v>
      </c>
      <c r="AD38" s="51">
        <v>0</v>
      </c>
    </row>
    <row r="39" spans="2:30" x14ac:dyDescent="0.25">
      <c r="B39" s="50" t="s">
        <v>4</v>
      </c>
      <c r="C39" s="51">
        <v>0</v>
      </c>
      <c r="D39" s="51">
        <v>0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1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1</v>
      </c>
      <c r="AB39" s="51">
        <v>0</v>
      </c>
      <c r="AC39" s="51">
        <v>0</v>
      </c>
      <c r="AD39" s="51">
        <v>0</v>
      </c>
    </row>
    <row r="40" spans="2:30" x14ac:dyDescent="0.25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 ht="15.75" thickBot="1" x14ac:dyDescent="0.3">
      <c r="B41" s="52"/>
      <c r="C41" s="19">
        <v>0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0</v>
      </c>
      <c r="K41" s="19">
        <v>1</v>
      </c>
      <c r="L41" s="19">
        <v>2</v>
      </c>
      <c r="M41" s="19">
        <v>3</v>
      </c>
      <c r="N41" s="19">
        <v>4</v>
      </c>
      <c r="O41" s="19">
        <v>5</v>
      </c>
      <c r="P41" s="19">
        <v>6</v>
      </c>
      <c r="Q41" s="19">
        <v>0</v>
      </c>
      <c r="R41" s="19">
        <v>1</v>
      </c>
      <c r="S41" s="19">
        <v>2</v>
      </c>
      <c r="T41" s="19">
        <v>3</v>
      </c>
      <c r="U41" s="19">
        <v>4</v>
      </c>
      <c r="V41" s="19">
        <v>5</v>
      </c>
      <c r="W41" s="19">
        <v>6</v>
      </c>
      <c r="X41" s="19">
        <v>0</v>
      </c>
      <c r="Y41" s="19">
        <v>1</v>
      </c>
      <c r="Z41" s="19">
        <v>2</v>
      </c>
      <c r="AA41" s="19">
        <v>3</v>
      </c>
      <c r="AB41" s="19">
        <v>4</v>
      </c>
      <c r="AC41" s="19">
        <v>5</v>
      </c>
      <c r="AD41" s="19">
        <v>6</v>
      </c>
    </row>
    <row r="42" spans="2:30" x14ac:dyDescent="0.25">
      <c r="B42" s="49" t="s">
        <v>71</v>
      </c>
      <c r="C42" s="127" t="s">
        <v>5</v>
      </c>
      <c r="D42" s="128"/>
      <c r="E42" s="128"/>
      <c r="F42" s="128"/>
      <c r="G42" s="128"/>
      <c r="H42" s="128"/>
      <c r="I42" s="129"/>
      <c r="J42" s="127" t="s">
        <v>6</v>
      </c>
      <c r="K42" s="128"/>
      <c r="L42" s="128"/>
      <c r="M42" s="128"/>
      <c r="N42" s="128"/>
      <c r="O42" s="128"/>
      <c r="P42" s="129"/>
      <c r="Q42" s="127" t="s">
        <v>7</v>
      </c>
      <c r="R42" s="128"/>
      <c r="S42" s="128"/>
      <c r="T42" s="128"/>
      <c r="U42" s="128"/>
      <c r="V42" s="128"/>
      <c r="W42" s="129"/>
      <c r="X42" s="127" t="s">
        <v>8</v>
      </c>
      <c r="Y42" s="128"/>
      <c r="Z42" s="128"/>
      <c r="AA42" s="128"/>
      <c r="AB42" s="128"/>
      <c r="AC42" s="128"/>
      <c r="AD42" s="129"/>
    </row>
    <row r="43" spans="2:30" x14ac:dyDescent="0.25">
      <c r="B43" s="50" t="s">
        <v>1</v>
      </c>
      <c r="C43" s="51">
        <v>0</v>
      </c>
      <c r="D43" s="51">
        <v>0</v>
      </c>
      <c r="E43" s="51">
        <v>0</v>
      </c>
      <c r="F43" s="51">
        <v>0.5</v>
      </c>
      <c r="G43" s="51">
        <v>0.5</v>
      </c>
      <c r="H43" s="51">
        <v>0</v>
      </c>
      <c r="I43" s="51">
        <v>0</v>
      </c>
      <c r="J43" s="51">
        <v>0.5</v>
      </c>
      <c r="K43" s="51">
        <v>0.5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0.5</v>
      </c>
      <c r="T43" s="51">
        <v>0.5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0.5</v>
      </c>
      <c r="AA43" s="51">
        <v>0.5</v>
      </c>
      <c r="AB43" s="51">
        <v>0</v>
      </c>
      <c r="AC43" s="51">
        <v>0</v>
      </c>
      <c r="AD43" s="51">
        <v>0</v>
      </c>
    </row>
    <row r="44" spans="2:30" x14ac:dyDescent="0.25">
      <c r="B44" s="50" t="s">
        <v>2</v>
      </c>
      <c r="C44" s="51">
        <v>0</v>
      </c>
      <c r="D44" s="51">
        <v>0</v>
      </c>
      <c r="E44" s="51">
        <v>0</v>
      </c>
      <c r="F44" s="51">
        <v>0</v>
      </c>
      <c r="G44" s="51">
        <v>0.5</v>
      </c>
      <c r="H44" s="51">
        <v>0.5</v>
      </c>
      <c r="I44" s="51">
        <v>0</v>
      </c>
      <c r="J44" s="51">
        <v>0</v>
      </c>
      <c r="K44" s="51">
        <v>0.5</v>
      </c>
      <c r="L44" s="51">
        <v>0.5</v>
      </c>
      <c r="M44" s="51">
        <v>0</v>
      </c>
      <c r="N44" s="51">
        <v>0</v>
      </c>
      <c r="O44" s="51">
        <v>0</v>
      </c>
      <c r="P44" s="51">
        <v>0</v>
      </c>
      <c r="Q44" s="51">
        <v>0.5</v>
      </c>
      <c r="R44" s="51">
        <v>0.5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0.5</v>
      </c>
      <c r="AD44" s="51">
        <v>0.5</v>
      </c>
    </row>
    <row r="45" spans="2:30" x14ac:dyDescent="0.25">
      <c r="B45" s="50" t="s">
        <v>3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0.5</v>
      </c>
      <c r="I45" s="51">
        <v>0.5</v>
      </c>
      <c r="J45" s="51">
        <v>0</v>
      </c>
      <c r="K45" s="51">
        <v>0</v>
      </c>
      <c r="L45" s="51">
        <v>0.5</v>
      </c>
      <c r="M45" s="51">
        <v>0.5</v>
      </c>
      <c r="N45" s="51">
        <v>0</v>
      </c>
      <c r="O45" s="51">
        <v>0</v>
      </c>
      <c r="P45" s="51">
        <v>0</v>
      </c>
      <c r="Q45" s="51">
        <v>0.5</v>
      </c>
      <c r="R45" s="51">
        <v>0.5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0.5</v>
      </c>
      <c r="AC45" s="51">
        <v>0.5</v>
      </c>
      <c r="AD45" s="51">
        <v>0</v>
      </c>
    </row>
    <row r="46" spans="2:30" x14ac:dyDescent="0.25">
      <c r="B46" s="50" t="s">
        <v>4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0.5</v>
      </c>
      <c r="I46" s="51">
        <v>0.5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0.5</v>
      </c>
      <c r="T46" s="51">
        <v>0.5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1</v>
      </c>
      <c r="AD46" s="51">
        <v>0</v>
      </c>
    </row>
    <row r="47" spans="2:30" ht="15.75" thickBot="1" x14ac:dyDescent="0.3"/>
    <row r="48" spans="2:30" x14ac:dyDescent="0.25">
      <c r="B48" s="54"/>
      <c r="C48" s="127" t="s">
        <v>5</v>
      </c>
      <c r="D48" s="128"/>
      <c r="E48" s="128"/>
      <c r="F48" s="128"/>
      <c r="G48" s="128"/>
      <c r="H48" s="128"/>
      <c r="I48" s="129"/>
      <c r="J48" s="127" t="s">
        <v>6</v>
      </c>
      <c r="K48" s="128"/>
      <c r="L48" s="128"/>
      <c r="M48" s="128"/>
      <c r="N48" s="128"/>
      <c r="O48" s="128"/>
      <c r="P48" s="129"/>
      <c r="Q48" s="127" t="s">
        <v>7</v>
      </c>
      <c r="R48" s="128"/>
      <c r="S48" s="128"/>
      <c r="T48" s="128"/>
      <c r="U48" s="128"/>
      <c r="V48" s="128"/>
      <c r="W48" s="129"/>
      <c r="X48" s="127" t="s">
        <v>8</v>
      </c>
      <c r="Y48" s="128"/>
      <c r="Z48" s="128"/>
      <c r="AA48" s="128"/>
      <c r="AB48" s="128"/>
      <c r="AC48" s="128"/>
      <c r="AD48" s="129"/>
    </row>
    <row r="49" spans="2:30" x14ac:dyDescent="0.25">
      <c r="B49" s="55" t="s">
        <v>1</v>
      </c>
      <c r="C49" s="56">
        <f t="shared" ref="C49:AD49" si="18">SUM(C36*$F$30,C43*$G$30)</f>
        <v>0</v>
      </c>
      <c r="D49" s="56">
        <f t="shared" si="18"/>
        <v>0</v>
      </c>
      <c r="E49" s="56">
        <f t="shared" si="18"/>
        <v>0</v>
      </c>
      <c r="F49" s="56">
        <f t="shared" si="18"/>
        <v>0.25</v>
      </c>
      <c r="G49" s="56">
        <f t="shared" si="18"/>
        <v>0.75</v>
      </c>
      <c r="H49" s="56">
        <f t="shared" si="18"/>
        <v>0</v>
      </c>
      <c r="I49" s="56">
        <f t="shared" si="18"/>
        <v>0</v>
      </c>
      <c r="J49" s="56">
        <f t="shared" si="18"/>
        <v>0.75</v>
      </c>
      <c r="K49" s="56">
        <f t="shared" si="18"/>
        <v>0.25</v>
      </c>
      <c r="L49" s="56">
        <f t="shared" si="18"/>
        <v>0</v>
      </c>
      <c r="M49" s="56">
        <f t="shared" si="18"/>
        <v>0</v>
      </c>
      <c r="N49" s="56">
        <f t="shared" si="18"/>
        <v>0</v>
      </c>
      <c r="O49" s="56">
        <f t="shared" si="18"/>
        <v>0</v>
      </c>
      <c r="P49" s="56">
        <f t="shared" si="18"/>
        <v>0</v>
      </c>
      <c r="Q49" s="56">
        <f t="shared" si="18"/>
        <v>0</v>
      </c>
      <c r="R49" s="56">
        <f t="shared" si="18"/>
        <v>0</v>
      </c>
      <c r="S49" s="56">
        <f t="shared" si="18"/>
        <v>0.75</v>
      </c>
      <c r="T49" s="56">
        <f t="shared" si="18"/>
        <v>0.25</v>
      </c>
      <c r="U49" s="56">
        <f t="shared" si="18"/>
        <v>0</v>
      </c>
      <c r="V49" s="56">
        <f t="shared" si="18"/>
        <v>0</v>
      </c>
      <c r="W49" s="56">
        <f t="shared" si="18"/>
        <v>0</v>
      </c>
      <c r="X49" s="56">
        <f t="shared" si="18"/>
        <v>0</v>
      </c>
      <c r="Y49" s="56">
        <f t="shared" si="18"/>
        <v>0</v>
      </c>
      <c r="Z49" s="56">
        <f t="shared" si="18"/>
        <v>0.25</v>
      </c>
      <c r="AA49" s="56">
        <f t="shared" si="18"/>
        <v>0.75</v>
      </c>
      <c r="AB49" s="56">
        <f t="shared" si="18"/>
        <v>0</v>
      </c>
      <c r="AC49" s="56">
        <f t="shared" si="18"/>
        <v>0</v>
      </c>
      <c r="AD49" s="56">
        <f t="shared" si="18"/>
        <v>0</v>
      </c>
    </row>
    <row r="50" spans="2:30" x14ac:dyDescent="0.25">
      <c r="B50" s="55" t="s">
        <v>2</v>
      </c>
      <c r="C50" s="56">
        <f t="shared" ref="C50:AD50" si="19">SUM(C37*$F$30,C44*$G$30)</f>
        <v>0</v>
      </c>
      <c r="D50" s="56">
        <f t="shared" si="19"/>
        <v>0</v>
      </c>
      <c r="E50" s="56">
        <f t="shared" si="19"/>
        <v>0</v>
      </c>
      <c r="F50" s="56">
        <f t="shared" si="19"/>
        <v>0</v>
      </c>
      <c r="G50" s="56">
        <f t="shared" si="19"/>
        <v>0.25</v>
      </c>
      <c r="H50" s="56">
        <f t="shared" si="19"/>
        <v>0.75</v>
      </c>
      <c r="I50" s="56">
        <f t="shared" si="19"/>
        <v>0</v>
      </c>
      <c r="J50" s="56">
        <f t="shared" si="19"/>
        <v>0</v>
      </c>
      <c r="K50" s="56">
        <f t="shared" si="19"/>
        <v>0.75</v>
      </c>
      <c r="L50" s="56">
        <f t="shared" si="19"/>
        <v>0.25</v>
      </c>
      <c r="M50" s="56">
        <f t="shared" si="19"/>
        <v>0</v>
      </c>
      <c r="N50" s="56">
        <f t="shared" si="19"/>
        <v>0</v>
      </c>
      <c r="O50" s="56">
        <f t="shared" si="19"/>
        <v>0</v>
      </c>
      <c r="P50" s="56">
        <f t="shared" si="19"/>
        <v>0</v>
      </c>
      <c r="Q50" s="56">
        <f t="shared" si="19"/>
        <v>0.75</v>
      </c>
      <c r="R50" s="56">
        <f t="shared" si="19"/>
        <v>0.25</v>
      </c>
      <c r="S50" s="56">
        <f t="shared" si="19"/>
        <v>0</v>
      </c>
      <c r="T50" s="56">
        <f t="shared" si="19"/>
        <v>0</v>
      </c>
      <c r="U50" s="56">
        <f t="shared" si="19"/>
        <v>0</v>
      </c>
      <c r="V50" s="56">
        <f t="shared" si="19"/>
        <v>0</v>
      </c>
      <c r="W50" s="56">
        <f t="shared" si="19"/>
        <v>0</v>
      </c>
      <c r="X50" s="56">
        <f t="shared" si="19"/>
        <v>0</v>
      </c>
      <c r="Y50" s="56">
        <f t="shared" si="19"/>
        <v>0</v>
      </c>
      <c r="Z50" s="56">
        <f t="shared" si="19"/>
        <v>0</v>
      </c>
      <c r="AA50" s="56">
        <f t="shared" si="19"/>
        <v>0</v>
      </c>
      <c r="AB50" s="56">
        <f t="shared" si="19"/>
        <v>0</v>
      </c>
      <c r="AC50" s="56">
        <f t="shared" si="19"/>
        <v>0.25</v>
      </c>
      <c r="AD50" s="56">
        <f t="shared" si="19"/>
        <v>0.75</v>
      </c>
    </row>
    <row r="51" spans="2:30" x14ac:dyDescent="0.25">
      <c r="B51" s="55" t="s">
        <v>3</v>
      </c>
      <c r="C51" s="56">
        <f t="shared" ref="C51:AD51" si="20">SUM(C38*$F$30,C45*$G$30)</f>
        <v>0</v>
      </c>
      <c r="D51" s="56">
        <f t="shared" si="20"/>
        <v>0</v>
      </c>
      <c r="E51" s="56">
        <f t="shared" si="20"/>
        <v>0</v>
      </c>
      <c r="F51" s="56">
        <f t="shared" si="20"/>
        <v>0</v>
      </c>
      <c r="G51" s="56">
        <f t="shared" si="20"/>
        <v>0</v>
      </c>
      <c r="H51" s="56">
        <f t="shared" si="20"/>
        <v>0.25</v>
      </c>
      <c r="I51" s="56">
        <f t="shared" si="20"/>
        <v>0.75</v>
      </c>
      <c r="J51" s="56">
        <f t="shared" si="20"/>
        <v>0</v>
      </c>
      <c r="K51" s="56">
        <f t="shared" si="20"/>
        <v>0</v>
      </c>
      <c r="L51" s="56">
        <f t="shared" si="20"/>
        <v>0.75</v>
      </c>
      <c r="M51" s="56">
        <f t="shared" si="20"/>
        <v>0.25</v>
      </c>
      <c r="N51" s="56">
        <f t="shared" si="20"/>
        <v>0</v>
      </c>
      <c r="O51" s="56">
        <f t="shared" si="20"/>
        <v>0</v>
      </c>
      <c r="P51" s="56">
        <f t="shared" si="20"/>
        <v>0</v>
      </c>
      <c r="Q51" s="56">
        <f t="shared" si="20"/>
        <v>0.25</v>
      </c>
      <c r="R51" s="56">
        <f t="shared" si="20"/>
        <v>0.75</v>
      </c>
      <c r="S51" s="56">
        <f t="shared" si="20"/>
        <v>0</v>
      </c>
      <c r="T51" s="56">
        <f t="shared" si="20"/>
        <v>0</v>
      </c>
      <c r="U51" s="56">
        <f t="shared" si="20"/>
        <v>0</v>
      </c>
      <c r="V51" s="56">
        <f t="shared" si="20"/>
        <v>0</v>
      </c>
      <c r="W51" s="56">
        <f t="shared" si="20"/>
        <v>0</v>
      </c>
      <c r="X51" s="56">
        <f t="shared" si="20"/>
        <v>0</v>
      </c>
      <c r="Y51" s="56">
        <f t="shared" si="20"/>
        <v>0</v>
      </c>
      <c r="Z51" s="56">
        <f t="shared" si="20"/>
        <v>0</v>
      </c>
      <c r="AA51" s="56">
        <f t="shared" si="20"/>
        <v>0</v>
      </c>
      <c r="AB51" s="56">
        <f t="shared" si="20"/>
        <v>0.75</v>
      </c>
      <c r="AC51" s="56">
        <f t="shared" si="20"/>
        <v>0.25</v>
      </c>
      <c r="AD51" s="56">
        <f t="shared" si="20"/>
        <v>0</v>
      </c>
    </row>
    <row r="52" spans="2:30" ht="15.75" thickBot="1" x14ac:dyDescent="0.3">
      <c r="B52" s="55" t="s">
        <v>4</v>
      </c>
      <c r="C52" s="56">
        <f t="shared" ref="C52:AD52" si="21">SUM(C39*$F$30,C46*$G$30)</f>
        <v>0</v>
      </c>
      <c r="D52" s="56">
        <f t="shared" si="21"/>
        <v>0</v>
      </c>
      <c r="E52" s="56">
        <f t="shared" si="21"/>
        <v>0</v>
      </c>
      <c r="F52" s="56">
        <f t="shared" si="21"/>
        <v>0</v>
      </c>
      <c r="G52" s="56">
        <f t="shared" si="21"/>
        <v>0.5</v>
      </c>
      <c r="H52" s="56">
        <f t="shared" si="21"/>
        <v>0.25</v>
      </c>
      <c r="I52" s="56">
        <f t="shared" si="21"/>
        <v>0.25</v>
      </c>
      <c r="J52" s="56">
        <f t="shared" si="21"/>
        <v>0</v>
      </c>
      <c r="K52" s="56">
        <f t="shared" si="21"/>
        <v>0.5</v>
      </c>
      <c r="L52" s="56">
        <f t="shared" si="21"/>
        <v>0.5</v>
      </c>
      <c r="M52" s="56">
        <f t="shared" si="21"/>
        <v>0</v>
      </c>
      <c r="N52" s="56">
        <f t="shared" si="21"/>
        <v>0</v>
      </c>
      <c r="O52" s="56">
        <f t="shared" si="21"/>
        <v>0</v>
      </c>
      <c r="P52" s="56">
        <f t="shared" si="21"/>
        <v>0</v>
      </c>
      <c r="Q52" s="56">
        <f t="shared" si="21"/>
        <v>0</v>
      </c>
      <c r="R52" s="56">
        <f t="shared" si="21"/>
        <v>0</v>
      </c>
      <c r="S52" s="56">
        <f t="shared" si="21"/>
        <v>0.75</v>
      </c>
      <c r="T52" s="56">
        <f t="shared" si="21"/>
        <v>0.25</v>
      </c>
      <c r="U52" s="56">
        <f t="shared" si="21"/>
        <v>0</v>
      </c>
      <c r="V52" s="56">
        <f t="shared" si="21"/>
        <v>0</v>
      </c>
      <c r="W52" s="56">
        <f t="shared" si="21"/>
        <v>0</v>
      </c>
      <c r="X52" s="56">
        <f t="shared" si="21"/>
        <v>0</v>
      </c>
      <c r="Y52" s="56">
        <f t="shared" si="21"/>
        <v>0</v>
      </c>
      <c r="Z52" s="56">
        <f t="shared" si="21"/>
        <v>0</v>
      </c>
      <c r="AA52" s="56">
        <f t="shared" si="21"/>
        <v>0.5</v>
      </c>
      <c r="AB52" s="56">
        <f t="shared" si="21"/>
        <v>0</v>
      </c>
      <c r="AC52" s="56">
        <f t="shared" si="21"/>
        <v>0.5</v>
      </c>
      <c r="AD52" s="56">
        <f t="shared" si="21"/>
        <v>0</v>
      </c>
    </row>
    <row r="53" spans="2:30" x14ac:dyDescent="0.25">
      <c r="B53" s="93" t="s">
        <v>97</v>
      </c>
      <c r="C53" s="94">
        <f>C74</f>
        <v>0</v>
      </c>
      <c r="D53" s="94">
        <f t="shared" ref="D53:AD53" si="22">D74</f>
        <v>0</v>
      </c>
      <c r="E53" s="94">
        <f t="shared" si="22"/>
        <v>0</v>
      </c>
      <c r="F53" s="94">
        <f t="shared" si="22"/>
        <v>0.25</v>
      </c>
      <c r="G53" s="94">
        <f t="shared" si="22"/>
        <v>0.75</v>
      </c>
      <c r="H53" s="94">
        <f t="shared" si="22"/>
        <v>0</v>
      </c>
      <c r="I53" s="94">
        <f t="shared" si="22"/>
        <v>0</v>
      </c>
      <c r="J53" s="94">
        <f t="shared" si="22"/>
        <v>0.75</v>
      </c>
      <c r="K53" s="94">
        <f t="shared" si="22"/>
        <v>0.25</v>
      </c>
      <c r="L53" s="94">
        <f t="shared" si="22"/>
        <v>0</v>
      </c>
      <c r="M53" s="94">
        <f t="shared" si="22"/>
        <v>0</v>
      </c>
      <c r="N53" s="94">
        <f t="shared" si="22"/>
        <v>0</v>
      </c>
      <c r="O53" s="94">
        <f t="shared" si="22"/>
        <v>0</v>
      </c>
      <c r="P53" s="94">
        <f t="shared" si="22"/>
        <v>0</v>
      </c>
      <c r="Q53" s="94">
        <f t="shared" si="22"/>
        <v>0.75</v>
      </c>
      <c r="R53" s="94">
        <f t="shared" si="22"/>
        <v>0.25</v>
      </c>
      <c r="S53" s="94">
        <f t="shared" si="22"/>
        <v>0</v>
      </c>
      <c r="T53" s="94">
        <f t="shared" si="22"/>
        <v>0</v>
      </c>
      <c r="U53" s="94">
        <f t="shared" si="22"/>
        <v>0</v>
      </c>
      <c r="V53" s="94">
        <f t="shared" si="22"/>
        <v>0</v>
      </c>
      <c r="W53" s="94">
        <f t="shared" si="22"/>
        <v>0</v>
      </c>
      <c r="X53" s="94">
        <f t="shared" si="22"/>
        <v>0</v>
      </c>
      <c r="Y53" s="94">
        <f t="shared" si="22"/>
        <v>0</v>
      </c>
      <c r="Z53" s="94">
        <f t="shared" si="22"/>
        <v>0.25</v>
      </c>
      <c r="AA53" s="94">
        <f t="shared" si="22"/>
        <v>0.75</v>
      </c>
      <c r="AB53" s="94">
        <f t="shared" si="22"/>
        <v>0</v>
      </c>
      <c r="AC53" s="94">
        <f t="shared" si="22"/>
        <v>0</v>
      </c>
      <c r="AD53" s="94">
        <f t="shared" si="22"/>
        <v>0</v>
      </c>
    </row>
    <row r="54" spans="2:30" ht="15.75" thickBot="1" x14ac:dyDescent="0.3"/>
    <row r="55" spans="2:30" ht="15.75" thickBot="1" x14ac:dyDescent="0.3">
      <c r="C55" s="18"/>
      <c r="D55" s="57" t="s">
        <v>72</v>
      </c>
      <c r="E55" s="58"/>
      <c r="F55" s="58"/>
      <c r="G55" s="58"/>
      <c r="I55" s="81"/>
      <c r="J55" s="15"/>
      <c r="L55" s="62" t="s">
        <v>76</v>
      </c>
      <c r="M55" s="22" t="s">
        <v>77</v>
      </c>
      <c r="N55" s="22" t="s">
        <v>78</v>
      </c>
      <c r="O55" s="22" t="s">
        <v>79</v>
      </c>
      <c r="P55" s="22" t="s">
        <v>80</v>
      </c>
      <c r="Q55" s="22" t="s">
        <v>81</v>
      </c>
      <c r="R55" s="22" t="s">
        <v>82</v>
      </c>
      <c r="S55" s="23" t="s">
        <v>83</v>
      </c>
    </row>
    <row r="56" spans="2:30" ht="15.75" thickBot="1" x14ac:dyDescent="0.3">
      <c r="C56" s="52"/>
      <c r="D56" s="100" t="s">
        <v>5</v>
      </c>
      <c r="E56" s="69" t="s">
        <v>6</v>
      </c>
      <c r="F56" s="69" t="s">
        <v>7</v>
      </c>
      <c r="G56" s="70" t="s">
        <v>8</v>
      </c>
      <c r="I56" s="61"/>
      <c r="J56" s="15"/>
      <c r="L56" s="63" t="s">
        <v>84</v>
      </c>
      <c r="M56" s="64">
        <v>0</v>
      </c>
      <c r="N56" s="64">
        <v>1</v>
      </c>
      <c r="O56" s="64">
        <v>2</v>
      </c>
      <c r="P56" s="64">
        <v>3</v>
      </c>
      <c r="Q56" s="64">
        <v>4</v>
      </c>
      <c r="R56" s="64">
        <v>5</v>
      </c>
      <c r="S56" s="65">
        <v>6</v>
      </c>
    </row>
    <row r="57" spans="2:30" x14ac:dyDescent="0.25">
      <c r="C57" s="50" t="s">
        <v>1</v>
      </c>
      <c r="D57" s="109">
        <f>SUMPRODUCT(C49:I49,$C$41:$I$41)</f>
        <v>3.75</v>
      </c>
      <c r="E57" s="110">
        <f>SUMPRODUCT(J49:P49,$C$41:$I$41)</f>
        <v>0.25</v>
      </c>
      <c r="F57" s="110">
        <f>SUMPRODUCT(Q49:W49,$C$41:$I$41)</f>
        <v>2.25</v>
      </c>
      <c r="G57" s="111">
        <f>SUMPRODUCT(X49:AD49,$C$41:$I$41)</f>
        <v>2.75</v>
      </c>
      <c r="I57" s="81"/>
      <c r="J57" s="15"/>
    </row>
    <row r="58" spans="2:30" x14ac:dyDescent="0.25">
      <c r="C58" s="50" t="s">
        <v>2</v>
      </c>
      <c r="D58" s="59">
        <f>SUMPRODUCT(C50:I50,$C$41:$I$41)</f>
        <v>4.75</v>
      </c>
      <c r="E58" s="108">
        <f>SUMPRODUCT(J50:P50,$C$41:$I$41)</f>
        <v>1.25</v>
      </c>
      <c r="F58" s="108">
        <f>SUMPRODUCT(Q50:W50,$C$41:$I$41)</f>
        <v>0.25</v>
      </c>
      <c r="G58" s="112">
        <f t="shared" ref="G58" si="23">SUMPRODUCT(X50:AD50,$C$41:$I$41)</f>
        <v>5.75</v>
      </c>
      <c r="I58" s="81"/>
      <c r="J58" s="15"/>
    </row>
    <row r="59" spans="2:30" x14ac:dyDescent="0.25">
      <c r="C59" s="50" t="s">
        <v>3</v>
      </c>
      <c r="D59" s="59">
        <f>SUMPRODUCT(C51:I51,$C$41:$I$41)</f>
        <v>5.75</v>
      </c>
      <c r="E59" s="108">
        <f>SUMPRODUCT(J51:P51,$C$41:$I$41)</f>
        <v>2.25</v>
      </c>
      <c r="F59" s="108">
        <f>SUMPRODUCT(Q51:W51,$C$41:$I$41)</f>
        <v>0.75</v>
      </c>
      <c r="G59" s="112">
        <f>SUMPRODUCT(X51:AD51,$C$41:$I$41)</f>
        <v>4.25</v>
      </c>
      <c r="I59" s="81"/>
      <c r="J59" s="15"/>
    </row>
    <row r="60" spans="2:30" x14ac:dyDescent="0.25">
      <c r="C60" s="50" t="s">
        <v>4</v>
      </c>
      <c r="D60" s="59">
        <f>SUMPRODUCT(C52:I52,$C$41:$I$41)</f>
        <v>4.75</v>
      </c>
      <c r="E60" s="108">
        <f>SUMPRODUCT(J52:P52,$C$41:$I$41)</f>
        <v>1.5</v>
      </c>
      <c r="F60" s="108">
        <f>SUMPRODUCT(Q52:W52,$C$41:$I$41)</f>
        <v>2.25</v>
      </c>
      <c r="G60" s="112">
        <f>SUMPRODUCT(X52:AD52,$C$41:$I$41)</f>
        <v>4</v>
      </c>
    </row>
    <row r="61" spans="2:30" ht="15.75" thickBot="1" x14ac:dyDescent="0.3">
      <c r="C61" s="116" t="s">
        <v>97</v>
      </c>
      <c r="D61" s="124">
        <f>SUMPRODUCT(C53:I53,$C$41:$I$41)</f>
        <v>3.75</v>
      </c>
      <c r="E61" s="125">
        <f>SUMPRODUCT(J53:P53,$C$41:$I$41)</f>
        <v>0.25</v>
      </c>
      <c r="F61" s="125">
        <f>SUMPRODUCT(Q53:W53,$C$41:$I$41)</f>
        <v>0.25</v>
      </c>
      <c r="G61" s="126">
        <f>SUMPRODUCT(X53:AD53,$C$41:$I$41)</f>
        <v>2.75</v>
      </c>
    </row>
    <row r="62" spans="2:30" ht="15.75" thickBot="1" x14ac:dyDescent="0.3">
      <c r="C62" s="18"/>
      <c r="D62" s="60">
        <f>COUNTIF(D57:D60,MAX(D57:D60))</f>
        <v>1</v>
      </c>
      <c r="E62" s="60">
        <f t="shared" ref="E62:G62" si="24">COUNTIF(E57:E60,MAX(E57:E60))</f>
        <v>1</v>
      </c>
      <c r="F62" s="60">
        <f t="shared" si="24"/>
        <v>2</v>
      </c>
      <c r="G62" s="60">
        <f t="shared" si="24"/>
        <v>1</v>
      </c>
    </row>
    <row r="63" spans="2:30" x14ac:dyDescent="0.25">
      <c r="C63" s="54"/>
      <c r="D63" s="60">
        <f>COUNTIF(D57:D60,MIN(D57:D60))</f>
        <v>1</v>
      </c>
      <c r="E63" s="60">
        <f t="shared" ref="E63:G63" si="25">COUNTIF(E57:E60,MIN(E57:E60))</f>
        <v>1</v>
      </c>
      <c r="F63" s="60">
        <f t="shared" si="25"/>
        <v>1</v>
      </c>
      <c r="G63" s="60">
        <f t="shared" si="25"/>
        <v>1</v>
      </c>
      <c r="I63" s="83" t="s">
        <v>75</v>
      </c>
      <c r="J63" s="45" t="s">
        <v>5</v>
      </c>
      <c r="K63" s="45" t="s">
        <v>6</v>
      </c>
      <c r="L63" s="45" t="s">
        <v>7</v>
      </c>
      <c r="M63" s="46" t="s">
        <v>8</v>
      </c>
    </row>
    <row r="64" spans="2:30" ht="15.75" thickBot="1" x14ac:dyDescent="0.3">
      <c r="C64" s="57" t="s">
        <v>73</v>
      </c>
      <c r="D64" s="58"/>
      <c r="E64" s="58"/>
      <c r="F64" s="58"/>
      <c r="G64" s="58"/>
      <c r="I64" s="2"/>
      <c r="J64" s="35">
        <v>0.25</v>
      </c>
      <c r="K64" s="35">
        <v>0.25</v>
      </c>
      <c r="L64" s="35">
        <v>0.25</v>
      </c>
      <c r="M64" s="48">
        <v>0.25</v>
      </c>
    </row>
    <row r="65" spans="2:30" ht="15.75" thickBot="1" x14ac:dyDescent="0.3">
      <c r="C65" s="52"/>
      <c r="D65" s="100" t="s">
        <v>5</v>
      </c>
      <c r="E65" s="69" t="s">
        <v>6</v>
      </c>
      <c r="F65" s="69" t="s">
        <v>7</v>
      </c>
      <c r="G65" s="70" t="s">
        <v>8</v>
      </c>
    </row>
    <row r="66" spans="2:30" x14ac:dyDescent="0.25">
      <c r="C66" s="50" t="s">
        <v>1</v>
      </c>
      <c r="D66" s="101">
        <f>SUM(($M$56-D57)^2*C49,($N$56-D57)^2*D49,($O$56-D57)^2*E49,($P$56-D57)^2*F49,($Q$56-D57)^2*G49,($R$56-D57)^2*H49,($S$56-D57)^2*I49)</f>
        <v>0.1875</v>
      </c>
      <c r="E66" s="102">
        <f>SUM(($M$56-E57)^2*J49,($N$56-E57)^2*K49,($O$56-E57)^2*L49,($P$56-E57)^2*M49,($Q$56-E57)^2*N49,($R$56-E57)^2*O49,($S$56-E57)^2*P49)</f>
        <v>0.1875</v>
      </c>
      <c r="F66" s="102">
        <f>SUM(($M$56-F57)^2*Q49,($N$56-F57)^2*R49,($O$56-F57)^2*S49,($P$56-F57)^2*T49,($Q$56-F57)^2*U49,($R$56-F57)^2*V49,($S$56-F57)^2*W49)</f>
        <v>0.1875</v>
      </c>
      <c r="G66" s="103">
        <f>SUM(($M$56-G57)^2*X49,($N$56-G57)^2*Y49,($O$56-G57)^2*Z49,($P$56-G57)^2*AA49,($Q$56-G57)^2*AB49,($R$56-G57)^2*AC49,($S$56-G57)^2*AD49)</f>
        <v>0.1875</v>
      </c>
    </row>
    <row r="67" spans="2:30" x14ac:dyDescent="0.25">
      <c r="C67" s="50" t="s">
        <v>2</v>
      </c>
      <c r="D67" s="56">
        <f>SUM(($M$56-D58)^2*C50,($N$56-D58)^2*D50,($O$56-D58)^2*E50,($P$56-D58)^2*F50,($Q$56-D58)^2*G50,($R$56-D58)^2*H50,($S$56-D58)^2*I50)</f>
        <v>0.1875</v>
      </c>
      <c r="E67" s="99">
        <f>SUM(($M$56-E58)^2*J50,($N$56-E58)^2*K50,($O$56-E58)^2*L50,($P$56-E58)^2*M50,($Q$56-E58)^2*N50,($R$56-E58)^2*O50,($S$56-E58)^2*P50)</f>
        <v>0.1875</v>
      </c>
      <c r="F67" s="99">
        <f>SUM(($M$56-F58)^2*Q50,($N$56-F58)^2*R50,($O$56-F58)^2*S50,($P$56-F58)^2*T50,($Q$56-F58)^2*U50,($R$56-F58)^2*V50,($S$56-F58)^2*W50)</f>
        <v>0.1875</v>
      </c>
      <c r="G67" s="104">
        <f>SUM(($M$56-G58)^2*X50,($N$56-G58)^2*Y50,($O$56-G58)^2*Z50,($P$56-G58)^2*AA50,($Q$56-G58)^2*AB50,($R$56-G58)^2*AC50,($S$56-G58)^2*AD50)</f>
        <v>0.1875</v>
      </c>
    </row>
    <row r="68" spans="2:30" x14ac:dyDescent="0.25">
      <c r="C68" s="50" t="s">
        <v>3</v>
      </c>
      <c r="D68" s="56">
        <f>SUM(($M$56-D59)^2*C51,($N$56-D59)^2*D51,($O$56-D59)^2*E51,($P$56-D59)^2*F51,($Q$56-D59)^2*G51,($R$56-D59)^2*H51,($S$56-D59)^2*I51)</f>
        <v>0.1875</v>
      </c>
      <c r="E68" s="99">
        <f>SUM(($M$56-E59)^2*J51,($N$56-E59)^2*K51,($O$56-E59)^2*L51,($P$56-E59)^2*M51,($Q$56-E59)^2*N51,($R$56-E59)^2*O51,($S$56-E59)^2*P51)</f>
        <v>0.1875</v>
      </c>
      <c r="F68" s="99">
        <f>SUM(($M$56-F59)^2*Q51,($N$56-F59)^2*R51,($O$56-F59)^2*S51,($P$56-F59)^2*T51,($Q$56-F59)^2*U51,($R$56-F59)^2*V51,($S$56-F59)^2*W51)</f>
        <v>0.1875</v>
      </c>
      <c r="G68" s="104">
        <f>SUM(($M$56-G59)^2*X51,($N$56-G59)^2*Y51,($O$56-G59)^2*Z51,($P$56-G59)^2*AA51,($Q$56-G59)^2*AB51,($R$56-G59)^2*AC51,($S$56-G59)^2*AD51)</f>
        <v>0.1875</v>
      </c>
    </row>
    <row r="69" spans="2:30" x14ac:dyDescent="0.25">
      <c r="C69" s="50" t="s">
        <v>4</v>
      </c>
      <c r="D69" s="56">
        <f>SUM(($M$56-D60)^2*C52,($N$56-D60)^2*D52,($O$56-D60)^2*E52,($P$56-D60)^2*F52,($Q$56-D60)^2*G52,($R$56-D60)^2*H52,($S$56-D60)^2*I52)</f>
        <v>0.6875</v>
      </c>
      <c r="E69" s="99">
        <f>SUM(($M$56-E60)^2*J52,($N$56-E60)^2*K52,($O$56-E60)^2*L52,($P$56-E60)^2*M52,($Q$56-E60)^2*N52,($R$56-E60)^2*O52,($S$56-E60)^2*P52)</f>
        <v>0.25</v>
      </c>
      <c r="F69" s="99">
        <f>SUM(($M$56-F60)^2*Q52,($N$56-F60)^2*R52,($O$56-F60)^2*S52,($P$56-F60)^2*T52,($Q$56-F60)^2*U52,($R$56-F60)^2*V52,($S$56-F60)^2*W52)</f>
        <v>0.1875</v>
      </c>
      <c r="G69" s="104">
        <f>SUM(($M$56-G60)^2*X52,($N$56-G60)^2*Y52,($O$56-G60)^2*Z52,($P$56-G60)^2*AA52,($Q$56-G60)^2*AB52,($R$56-G60)^2*AC52,($S$56-G60)^2*AD52)</f>
        <v>1</v>
      </c>
    </row>
    <row r="70" spans="2:30" ht="15.75" thickBot="1" x14ac:dyDescent="0.3">
      <c r="C70" s="116" t="s">
        <v>97</v>
      </c>
      <c r="D70" s="121">
        <f>SUM(($M$56-D61)^2*C53,($N$56-D61)^2*D53,($O$56-D61)^2*E53,($P$56-D61)^2*F53,($Q$56-D61)^2*G53,($R$56-D61)^2*H53,($S$56-D61)^2*I53)</f>
        <v>0.1875</v>
      </c>
      <c r="E70" s="122">
        <f>SUM(($M$56-E61)^2*J53,($N$56-E61)^2*K53,($O$56-E61)^2*L53,($P$56-E61)^2*M53,($Q$56-E61)^2*N53,($R$56-E61)^2*O53,($S$56-E61)^2*P53)</f>
        <v>0.1875</v>
      </c>
      <c r="F70" s="122">
        <f>SUM(($M$56-F61)^2*Q53,($N$56-F61)^2*R53,($O$56-F61)^2*S53,($P$56-F61)^2*T53,($Q$56-F61)^2*U53,($R$56-F61)^2*V53,($S$56-F61)^2*W53)</f>
        <v>0.1875</v>
      </c>
      <c r="G70" s="123">
        <f>SUM(($M$56-G61)^2*X53,($N$56-G61)^2*Y53,($O$56-G61)^2*Z53,($P$56-G61)^2*AA53,($Q$56-G61)^2*AB53,($R$56-G61)^2*AC53,($S$56-G61)^2*AD53)</f>
        <v>0.1875</v>
      </c>
    </row>
    <row r="71" spans="2:30" ht="15.75" thickBot="1" x14ac:dyDescent="0.3"/>
    <row r="72" spans="2:30" ht="15.75" thickBot="1" x14ac:dyDescent="0.3">
      <c r="B72" s="66" t="s">
        <v>85</v>
      </c>
      <c r="C72" s="134" t="s">
        <v>5</v>
      </c>
      <c r="D72" s="134"/>
      <c r="E72" s="134"/>
      <c r="F72" s="134"/>
      <c r="G72" s="134"/>
      <c r="H72" s="134"/>
      <c r="I72" s="134"/>
      <c r="J72" s="134" t="s">
        <v>6</v>
      </c>
      <c r="K72" s="134"/>
      <c r="L72" s="134"/>
      <c r="M72" s="134"/>
      <c r="N72" s="134"/>
      <c r="O72" s="134"/>
      <c r="P72" s="134"/>
      <c r="Q72" s="134" t="s">
        <v>7</v>
      </c>
      <c r="R72" s="134"/>
      <c r="S72" s="134"/>
      <c r="T72" s="134"/>
      <c r="U72" s="134"/>
      <c r="V72" s="134"/>
      <c r="W72" s="134"/>
      <c r="X72" s="136" t="s">
        <v>8</v>
      </c>
      <c r="Y72" s="137"/>
      <c r="Z72" s="137"/>
      <c r="AA72" s="137"/>
      <c r="AB72" s="137"/>
      <c r="AC72" s="137"/>
      <c r="AD72" s="138"/>
    </row>
    <row r="73" spans="2:30" x14ac:dyDescent="0.25">
      <c r="B73" s="67" t="s">
        <v>86</v>
      </c>
      <c r="C73" s="71">
        <f>C51</f>
        <v>0</v>
      </c>
      <c r="D73" s="84">
        <f t="shared" ref="D73:I73" si="26">D51</f>
        <v>0</v>
      </c>
      <c r="E73" s="84">
        <f t="shared" si="26"/>
        <v>0</v>
      </c>
      <c r="F73" s="84">
        <f t="shared" si="26"/>
        <v>0</v>
      </c>
      <c r="G73" s="84">
        <f t="shared" si="26"/>
        <v>0</v>
      </c>
      <c r="H73" s="84">
        <f t="shared" si="26"/>
        <v>0.25</v>
      </c>
      <c r="I73" s="84">
        <f t="shared" si="26"/>
        <v>0.75</v>
      </c>
      <c r="J73" s="84">
        <f>J51</f>
        <v>0</v>
      </c>
      <c r="K73" s="84">
        <f t="shared" ref="K73:P73" si="27">K51</f>
        <v>0</v>
      </c>
      <c r="L73" s="84">
        <f t="shared" si="27"/>
        <v>0.75</v>
      </c>
      <c r="M73" s="84">
        <f t="shared" si="27"/>
        <v>0.25</v>
      </c>
      <c r="N73" s="84">
        <f t="shared" si="27"/>
        <v>0</v>
      </c>
      <c r="O73" s="84">
        <f t="shared" si="27"/>
        <v>0</v>
      </c>
      <c r="P73" s="84">
        <f t="shared" si="27"/>
        <v>0</v>
      </c>
      <c r="Q73" s="84">
        <f t="shared" ref="Q73:W74" si="28">Q49</f>
        <v>0</v>
      </c>
      <c r="R73" s="84">
        <f t="shared" si="28"/>
        <v>0</v>
      </c>
      <c r="S73" s="84">
        <f t="shared" si="28"/>
        <v>0.75</v>
      </c>
      <c r="T73" s="84">
        <f t="shared" si="28"/>
        <v>0.25</v>
      </c>
      <c r="U73" s="84">
        <f t="shared" si="28"/>
        <v>0</v>
      </c>
      <c r="V73" s="84">
        <f t="shared" si="28"/>
        <v>0</v>
      </c>
      <c r="W73" s="84">
        <f t="shared" si="28"/>
        <v>0</v>
      </c>
      <c r="X73" s="84">
        <f>X50</f>
        <v>0</v>
      </c>
      <c r="Y73" s="84">
        <f t="shared" ref="Y73:AD73" si="29">Y50</f>
        <v>0</v>
      </c>
      <c r="Z73" s="84">
        <f t="shared" si="29"/>
        <v>0</v>
      </c>
      <c r="AA73" s="84">
        <f t="shared" si="29"/>
        <v>0</v>
      </c>
      <c r="AB73" s="84">
        <f t="shared" si="29"/>
        <v>0</v>
      </c>
      <c r="AC73" s="84">
        <f t="shared" si="29"/>
        <v>0.25</v>
      </c>
      <c r="AD73" s="85">
        <f t="shared" si="29"/>
        <v>0.75</v>
      </c>
    </row>
    <row r="74" spans="2:30" ht="15.75" thickBot="1" x14ac:dyDescent="0.3">
      <c r="B74" s="68" t="s">
        <v>87</v>
      </c>
      <c r="C74" s="72">
        <f>C49</f>
        <v>0</v>
      </c>
      <c r="D74" s="86">
        <f t="shared" ref="D74:I74" si="30">D49</f>
        <v>0</v>
      </c>
      <c r="E74" s="86">
        <f t="shared" si="30"/>
        <v>0</v>
      </c>
      <c r="F74" s="86">
        <f t="shared" si="30"/>
        <v>0.25</v>
      </c>
      <c r="G74" s="86">
        <f t="shared" si="30"/>
        <v>0.75</v>
      </c>
      <c r="H74" s="86">
        <f t="shared" si="30"/>
        <v>0</v>
      </c>
      <c r="I74" s="86">
        <f t="shared" si="30"/>
        <v>0</v>
      </c>
      <c r="J74" s="86">
        <f>J49</f>
        <v>0.75</v>
      </c>
      <c r="K74" s="86">
        <f t="shared" ref="K74:P74" si="31">K49</f>
        <v>0.25</v>
      </c>
      <c r="L74" s="86">
        <f t="shared" si="31"/>
        <v>0</v>
      </c>
      <c r="M74" s="86">
        <f t="shared" si="31"/>
        <v>0</v>
      </c>
      <c r="N74" s="86">
        <f t="shared" si="31"/>
        <v>0</v>
      </c>
      <c r="O74" s="86">
        <f t="shared" si="31"/>
        <v>0</v>
      </c>
      <c r="P74" s="86">
        <f t="shared" si="31"/>
        <v>0</v>
      </c>
      <c r="Q74" s="86">
        <f t="shared" si="28"/>
        <v>0.75</v>
      </c>
      <c r="R74" s="86">
        <f t="shared" si="28"/>
        <v>0.25</v>
      </c>
      <c r="S74" s="86">
        <f t="shared" si="28"/>
        <v>0</v>
      </c>
      <c r="T74" s="86">
        <f t="shared" si="28"/>
        <v>0</v>
      </c>
      <c r="U74" s="86">
        <f t="shared" si="28"/>
        <v>0</v>
      </c>
      <c r="V74" s="86">
        <f t="shared" si="28"/>
        <v>0</v>
      </c>
      <c r="W74" s="86">
        <f t="shared" si="28"/>
        <v>0</v>
      </c>
      <c r="X74" s="86">
        <f>X49</f>
        <v>0</v>
      </c>
      <c r="Y74" s="86">
        <f t="shared" ref="Y74:AD74" si="32">Y49</f>
        <v>0</v>
      </c>
      <c r="Z74" s="86">
        <f t="shared" si="32"/>
        <v>0.25</v>
      </c>
      <c r="AA74" s="86">
        <f t="shared" si="32"/>
        <v>0.75</v>
      </c>
      <c r="AB74" s="86">
        <f t="shared" si="32"/>
        <v>0</v>
      </c>
      <c r="AC74" s="86">
        <f t="shared" si="32"/>
        <v>0</v>
      </c>
      <c r="AD74" s="87">
        <f t="shared" si="32"/>
        <v>0</v>
      </c>
    </row>
    <row r="75" spans="2:30" ht="15.75" thickBot="1" x14ac:dyDescent="0.3"/>
    <row r="76" spans="2:30" ht="15.75" thickBot="1" x14ac:dyDescent="0.3">
      <c r="B76" s="73" t="s">
        <v>88</v>
      </c>
      <c r="C76" s="78" t="s">
        <v>5</v>
      </c>
      <c r="D76" s="78" t="s">
        <v>6</v>
      </c>
      <c r="E76" s="78" t="s">
        <v>7</v>
      </c>
      <c r="F76" s="80" t="s">
        <v>8</v>
      </c>
      <c r="G76" s="82"/>
      <c r="I76" s="73" t="s">
        <v>90</v>
      </c>
      <c r="J76" s="78" t="s">
        <v>5</v>
      </c>
      <c r="K76" s="78" t="s">
        <v>6</v>
      </c>
      <c r="L76" s="78" t="s">
        <v>7</v>
      </c>
      <c r="M76" s="78" t="s">
        <v>8</v>
      </c>
      <c r="N76" s="79" t="s">
        <v>89</v>
      </c>
    </row>
    <row r="77" spans="2:30" x14ac:dyDescent="0.25">
      <c r="B77" s="74" t="s">
        <v>1</v>
      </c>
      <c r="C77" s="28">
        <f>(1/7)*ABS(SUMPRODUCT($M$56:$S$56,$C$73:$I$73)-SUMPRODUCT($M$56:$S$56,C49:I49))</f>
        <v>0.2857142857142857</v>
      </c>
      <c r="D77" s="45">
        <f>(1/7)*ABS(SUMPRODUCT($M$56:$S$56,$J$73:$P$73)-SUMPRODUCT($M$56:$S$56,J49:P49))</f>
        <v>0.2857142857142857</v>
      </c>
      <c r="E77" s="45">
        <f>(1/7)*ABS(SUMPRODUCT($M$56:$S$56,$Q$73:$W$73)-SUMPRODUCT($M$56:$S$56,Q49:W49))</f>
        <v>0</v>
      </c>
      <c r="F77" s="46">
        <f>(1/7)*ABS(SUMPRODUCT($M$56:$S$56,$X$73:$AD$73)-SUMPRODUCT($M$56:$S$56,X49:AD49))</f>
        <v>0.42857142857142855</v>
      </c>
      <c r="G77" s="15"/>
      <c r="I77" s="74" t="s">
        <v>1</v>
      </c>
      <c r="J77" s="28">
        <f>C77^2</f>
        <v>8.1632653061224483E-2</v>
      </c>
      <c r="K77" s="45">
        <f t="shared" ref="K77:M81" si="33">D77^2</f>
        <v>8.1632653061224483E-2</v>
      </c>
      <c r="L77" s="45">
        <f t="shared" si="33"/>
        <v>0</v>
      </c>
      <c r="M77" s="45">
        <f t="shared" si="33"/>
        <v>0.18367346938775508</v>
      </c>
      <c r="N77" s="46">
        <f>(SUMPRODUCT($J$64:$M$64,J77:M77))^(1/2)</f>
        <v>0.29450754468697571</v>
      </c>
    </row>
    <row r="78" spans="2:30" x14ac:dyDescent="0.25">
      <c r="B78" s="74" t="s">
        <v>2</v>
      </c>
      <c r="C78" s="1">
        <f>(1/7)*ABS(SUMPRODUCT($M$56:$S$56,$C$73:$I$73)-SUMPRODUCT($M$56:$S$56,C50:I50))</f>
        <v>0.14285714285714285</v>
      </c>
      <c r="D78" s="17">
        <f>(1/7)*ABS(SUMPRODUCT($M$56:$S$56,$J$73:$P$73)-SUMPRODUCT($M$56:$S$56,J50:P50))</f>
        <v>0.14285714285714285</v>
      </c>
      <c r="E78" s="17">
        <f>(1/7)*ABS(SUMPRODUCT($M$56:$S$56,$Q$73:$W$73)-SUMPRODUCT($M$56:$S$56,Q50:W50))</f>
        <v>0.2857142857142857</v>
      </c>
      <c r="F78" s="47">
        <f>(1/7)*ABS(SUMPRODUCT($M$56:$S$56,$X$73:$AD$73)-SUMPRODUCT($M$56:$S$56,X50:AD50))</f>
        <v>0</v>
      </c>
      <c r="G78" s="15"/>
      <c r="I78" s="74" t="s">
        <v>2</v>
      </c>
      <c r="J78" s="1">
        <f t="shared" ref="J78:J81" si="34">C78^2</f>
        <v>2.0408163265306121E-2</v>
      </c>
      <c r="K78" s="17">
        <f t="shared" si="33"/>
        <v>2.0408163265306121E-2</v>
      </c>
      <c r="L78" s="17">
        <f t="shared" si="33"/>
        <v>8.1632653061224483E-2</v>
      </c>
      <c r="M78" s="17">
        <f t="shared" si="33"/>
        <v>0</v>
      </c>
      <c r="N78" s="47">
        <f t="shared" ref="N78:N81" si="35">(SUMPRODUCT($J$64:$M$64,J78:M78))^(1/2)</f>
        <v>0.1749635530559413</v>
      </c>
    </row>
    <row r="79" spans="2:30" x14ac:dyDescent="0.25">
      <c r="B79" s="74" t="s">
        <v>3</v>
      </c>
      <c r="C79" s="1">
        <f>(1/7)*ABS(SUMPRODUCT($M$56:$S$56,$C$73:$I$73)-SUMPRODUCT($M$56:$S$56,C51:I51))</f>
        <v>0</v>
      </c>
      <c r="D79" s="17">
        <f>(1/7)*ABS(SUMPRODUCT($M$56:$S$56,$J$73:$P$73)-SUMPRODUCT($M$56:$S$56,J51:P51))</f>
        <v>0</v>
      </c>
      <c r="E79" s="17">
        <f>(1/7)*ABS(SUMPRODUCT($M$56:$S$56,$Q$73:$W$73)-SUMPRODUCT($M$56:$S$56,Q51:W51))</f>
        <v>0.21428571428571427</v>
      </c>
      <c r="F79" s="47">
        <f>(1/7)*ABS(SUMPRODUCT($M$56:$S$56,$X$73:$AD$73)-SUMPRODUCT($M$56:$S$56,X51:AD51))</f>
        <v>0.21428571428571427</v>
      </c>
      <c r="G79" s="15"/>
      <c r="I79" s="74" t="s">
        <v>3</v>
      </c>
      <c r="J79" s="1">
        <f t="shared" si="34"/>
        <v>0</v>
      </c>
      <c r="K79" s="17">
        <f t="shared" si="33"/>
        <v>0</v>
      </c>
      <c r="L79" s="17">
        <f t="shared" si="33"/>
        <v>4.5918367346938771E-2</v>
      </c>
      <c r="M79" s="17">
        <f t="shared" si="33"/>
        <v>4.5918367346938771E-2</v>
      </c>
      <c r="N79" s="47">
        <f t="shared" si="35"/>
        <v>0.15152288168283159</v>
      </c>
    </row>
    <row r="80" spans="2:30" x14ac:dyDescent="0.25">
      <c r="B80" s="88" t="s">
        <v>4</v>
      </c>
      <c r="C80" s="89">
        <f>(1/7)*ABS(SUMPRODUCT($M$56:$S$56,$C$73:$I$73)-SUMPRODUCT($M$56:$S$56,C52:I52))</f>
        <v>0.14285714285714285</v>
      </c>
      <c r="D80" s="90">
        <f>(1/7)*ABS(SUMPRODUCT($M$56:$S$56,$J$73:$P$73)-SUMPRODUCT($M$56:$S$56,J52:P52))</f>
        <v>0.10714285714285714</v>
      </c>
      <c r="E80" s="90">
        <f>(1/7)*ABS(SUMPRODUCT($M$56:$S$56,$Q$73:$W$73)-SUMPRODUCT($M$56:$S$56,Q52:W52))</f>
        <v>0</v>
      </c>
      <c r="F80" s="91">
        <f>(1/7)*ABS(SUMPRODUCT($M$56:$S$56,$X$73:$AD$73)-SUMPRODUCT($M$56:$S$56,X52:AD52))</f>
        <v>0.25</v>
      </c>
      <c r="G80" s="15"/>
      <c r="I80" s="88" t="s">
        <v>4</v>
      </c>
      <c r="J80" s="89">
        <f t="shared" si="34"/>
        <v>2.0408163265306121E-2</v>
      </c>
      <c r="K80" s="90">
        <f t="shared" si="33"/>
        <v>1.1479591836734693E-2</v>
      </c>
      <c r="L80" s="90">
        <f t="shared" si="33"/>
        <v>0</v>
      </c>
      <c r="M80" s="90">
        <f t="shared" si="33"/>
        <v>6.25E-2</v>
      </c>
      <c r="N80" s="91">
        <f t="shared" si="35"/>
        <v>0.15361295119718976</v>
      </c>
    </row>
    <row r="81" spans="2:14" ht="15.75" thickBot="1" x14ac:dyDescent="0.3">
      <c r="B81" s="92" t="s">
        <v>97</v>
      </c>
      <c r="C81" s="117">
        <f>(1/7)*ABS(SUMPRODUCT($M$56:$S$56,$C$73:$I$73)-SUMPRODUCT($M$56:$S$56,C53:I53))</f>
        <v>0.2857142857142857</v>
      </c>
      <c r="D81" s="118">
        <f>(1/7)*ABS(SUMPRODUCT($M$56:$S$56,$J$73:$P$73)-SUMPRODUCT($M$56:$S$56,J53:P53))</f>
        <v>0.2857142857142857</v>
      </c>
      <c r="E81" s="118">
        <f>(1/7)*ABS(SUMPRODUCT($M$56:$S$56,$Q$73:$W$73)-SUMPRODUCT($M$56:$S$56,Q53:W53))</f>
        <v>0.2857142857142857</v>
      </c>
      <c r="F81" s="119">
        <f>(1/7)*ABS(SUMPRODUCT($M$56:$S$56,$X$73:$AD$73)-SUMPRODUCT($M$56:$S$56,X53:AD53))</f>
        <v>0.42857142857142855</v>
      </c>
      <c r="G81" s="15"/>
      <c r="I81" s="92" t="s">
        <v>97</v>
      </c>
      <c r="J81" s="117">
        <f t="shared" si="34"/>
        <v>8.1632653061224483E-2</v>
      </c>
      <c r="K81" s="118">
        <f t="shared" si="33"/>
        <v>8.1632653061224483E-2</v>
      </c>
      <c r="L81" s="118">
        <f t="shared" si="33"/>
        <v>8.1632653061224483E-2</v>
      </c>
      <c r="M81" s="118">
        <f t="shared" si="33"/>
        <v>0.18367346938775508</v>
      </c>
      <c r="N81" s="119">
        <f t="shared" si="35"/>
        <v>0.32732683535398854</v>
      </c>
    </row>
    <row r="82" spans="2:14" ht="15.75" thickBot="1" x14ac:dyDescent="0.3"/>
    <row r="83" spans="2:14" ht="15.75" thickBot="1" x14ac:dyDescent="0.3">
      <c r="B83" s="73" t="s">
        <v>91</v>
      </c>
      <c r="C83" s="78" t="s">
        <v>5</v>
      </c>
      <c r="D83" s="78" t="s">
        <v>6</v>
      </c>
      <c r="E83" s="78" t="s">
        <v>7</v>
      </c>
      <c r="F83" s="80" t="s">
        <v>8</v>
      </c>
      <c r="G83" s="82"/>
      <c r="I83" s="73" t="s">
        <v>92</v>
      </c>
      <c r="J83" s="78" t="s">
        <v>5</v>
      </c>
      <c r="K83" s="78" t="s">
        <v>6</v>
      </c>
      <c r="L83" s="78" t="s">
        <v>7</v>
      </c>
      <c r="M83" s="78" t="s">
        <v>8</v>
      </c>
      <c r="N83" s="79" t="s">
        <v>89</v>
      </c>
    </row>
    <row r="84" spans="2:14" x14ac:dyDescent="0.25">
      <c r="B84" s="74" t="s">
        <v>1</v>
      </c>
      <c r="C84" s="28">
        <f>(1/7)*ABS(SUMPRODUCT($M$56:$S$56,$C$74:$I$74)-SUMPRODUCT($M$56:$S$56,C49:I49))</f>
        <v>0</v>
      </c>
      <c r="D84" s="45">
        <f>(1/7)*ABS(SUMPRODUCT($M$56:$S$56,$J$74:$P$74)-SUMPRODUCT($M$56:$S$56,J49:P49))</f>
        <v>0</v>
      </c>
      <c r="E84" s="45">
        <f>(1/7)*ABS(SUMPRODUCT($M$56:$S$56,$Q$74:$W$74)-SUMPRODUCT($M$56:$S$56,Q49:W49))</f>
        <v>0.2857142857142857</v>
      </c>
      <c r="F84" s="46">
        <f>(1/7)*ABS(SUMPRODUCT($M$56:$S$56,$X$74:$AD$74)-SUMPRODUCT($M$56:$S$56,X49:AD49))</f>
        <v>0</v>
      </c>
      <c r="G84" s="15"/>
      <c r="I84" s="74" t="s">
        <v>1</v>
      </c>
      <c r="J84" s="28">
        <f>C84^2</f>
        <v>0</v>
      </c>
      <c r="K84" s="45">
        <f t="shared" ref="K84:M88" si="36">D84^2</f>
        <v>0</v>
      </c>
      <c r="L84" s="45">
        <f t="shared" si="36"/>
        <v>8.1632653061224483E-2</v>
      </c>
      <c r="M84" s="45">
        <f t="shared" si="36"/>
        <v>0</v>
      </c>
      <c r="N84" s="46">
        <f>(SUMPRODUCT($J$64:$M$64,J84:M84))^(1/2)</f>
        <v>0.14285714285714285</v>
      </c>
    </row>
    <row r="85" spans="2:14" x14ac:dyDescent="0.25">
      <c r="B85" s="74" t="s">
        <v>2</v>
      </c>
      <c r="C85" s="1">
        <f>(1/7)*ABS(SUMPRODUCT($M$56:$S$56,$C$74:$I$74)-SUMPRODUCT($M$56:$S$56,C50:I50))</f>
        <v>0.14285714285714285</v>
      </c>
      <c r="D85" s="17">
        <f>(1/7)*ABS(SUMPRODUCT($M$56:$S$56,$J$74:$P$74)-SUMPRODUCT($M$56:$S$56,J50:P50))</f>
        <v>0.14285714285714285</v>
      </c>
      <c r="E85" s="17">
        <f>(1/7)*ABS(SUMPRODUCT($M$56:$S$56,$Q$74:$W$74)-SUMPRODUCT($M$56:$S$56,Q50:W50))</f>
        <v>0</v>
      </c>
      <c r="F85" s="47">
        <f>(1/7)*ABS(SUMPRODUCT($M$56:$S$56,$X$74:$AD$74)-SUMPRODUCT($M$56:$S$56,X50:AD50))</f>
        <v>0.42857142857142855</v>
      </c>
      <c r="G85" s="15"/>
      <c r="I85" s="74" t="s">
        <v>2</v>
      </c>
      <c r="J85" s="1">
        <f t="shared" ref="J85:J88" si="37">C85^2</f>
        <v>2.0408163265306121E-2</v>
      </c>
      <c r="K85" s="17">
        <f t="shared" si="36"/>
        <v>2.0408163265306121E-2</v>
      </c>
      <c r="L85" s="17">
        <f t="shared" si="36"/>
        <v>0</v>
      </c>
      <c r="M85" s="17">
        <f t="shared" si="36"/>
        <v>0.18367346938775508</v>
      </c>
      <c r="N85" s="47">
        <f t="shared" ref="N85:N88" si="38">(SUMPRODUCT($J$64:$M$64,J85:M85))^(1/2)</f>
        <v>0.23690177073967139</v>
      </c>
    </row>
    <row r="86" spans="2:14" x14ac:dyDescent="0.25">
      <c r="B86" s="74" t="s">
        <v>3</v>
      </c>
      <c r="C86" s="1">
        <f>(1/7)*ABS(SUMPRODUCT($M$56:$S$56,$C$74:$I$74)-SUMPRODUCT($M$56:$S$56,C51:I51))</f>
        <v>0.2857142857142857</v>
      </c>
      <c r="D86" s="17">
        <f>(1/7)*ABS(SUMPRODUCT($M$56:$S$56,$J$74:$P$74)-SUMPRODUCT($M$56:$S$56,J51:P51))</f>
        <v>0.2857142857142857</v>
      </c>
      <c r="E86" s="17">
        <f>(1/7)*ABS(SUMPRODUCT($M$56:$S$56,$Q$74:$W$74)-SUMPRODUCT($M$56:$S$56,Q51:W51))</f>
        <v>7.1428571428571425E-2</v>
      </c>
      <c r="F86" s="47">
        <f>(1/7)*ABS(SUMPRODUCT($M$56:$S$56,$X$74:$AD$74)-SUMPRODUCT($M$56:$S$56,X51:AD51))</f>
        <v>0.21428571428571427</v>
      </c>
      <c r="G86" s="15"/>
      <c r="I86" s="74" t="s">
        <v>3</v>
      </c>
      <c r="J86" s="1">
        <f t="shared" si="37"/>
        <v>8.1632653061224483E-2</v>
      </c>
      <c r="K86" s="17">
        <f t="shared" si="36"/>
        <v>8.1632653061224483E-2</v>
      </c>
      <c r="L86" s="17">
        <f t="shared" si="36"/>
        <v>5.1020408163265302E-3</v>
      </c>
      <c r="M86" s="17">
        <f t="shared" si="36"/>
        <v>4.5918367346938771E-2</v>
      </c>
      <c r="N86" s="47">
        <f t="shared" si="38"/>
        <v>0.23145502494313785</v>
      </c>
    </row>
    <row r="87" spans="2:14" x14ac:dyDescent="0.25">
      <c r="B87" s="88" t="s">
        <v>4</v>
      </c>
      <c r="C87" s="1">
        <f>(1/7)*ABS(SUMPRODUCT($M$56:$S$56,$C$74:$I$74)-SUMPRODUCT($M$56:$S$56,C52:I52))</f>
        <v>0.14285714285714285</v>
      </c>
      <c r="D87" s="17">
        <f>(1/7)*ABS(SUMPRODUCT($M$56:$S$56,$J$74:$P$74)-SUMPRODUCT($M$56:$S$56,J52:P52))</f>
        <v>0.17857142857142855</v>
      </c>
      <c r="E87" s="17">
        <f>(1/7)*ABS(SUMPRODUCT($M$56:$S$56,$Q$74:$W$74)-SUMPRODUCT($M$56:$S$56,Q52:W52))</f>
        <v>0.2857142857142857</v>
      </c>
      <c r="F87" s="47">
        <f>(1/7)*ABS(SUMPRODUCT($M$56:$S$56,$X$74:$AD$74)-SUMPRODUCT($M$56:$S$56,X52:AD52))</f>
        <v>0.17857142857142855</v>
      </c>
      <c r="G87" s="15"/>
      <c r="I87" s="88" t="s">
        <v>4</v>
      </c>
      <c r="J87" s="89">
        <f t="shared" si="37"/>
        <v>2.0408163265306121E-2</v>
      </c>
      <c r="K87" s="90">
        <f t="shared" si="36"/>
        <v>3.188775510204081E-2</v>
      </c>
      <c r="L87" s="90">
        <f t="shared" si="36"/>
        <v>8.1632653061224483E-2</v>
      </c>
      <c r="M87" s="90">
        <f t="shared" si="36"/>
        <v>3.188775510204081E-2</v>
      </c>
      <c r="N87" s="91">
        <f t="shared" si="38"/>
        <v>0.20360275448198889</v>
      </c>
    </row>
    <row r="88" spans="2:14" ht="15.75" thickBot="1" x14ac:dyDescent="0.3">
      <c r="B88" s="120" t="s">
        <v>97</v>
      </c>
      <c r="C88" s="117">
        <f>(1/7)*ABS(SUMPRODUCT($M$56:$S$56,$C$74:$I$74)-SUMPRODUCT($M$56:$S$56,C53:I53))</f>
        <v>0</v>
      </c>
      <c r="D88" s="118">
        <f>(1/7)*ABS(SUMPRODUCT($M$56:$S$56,$J$74:$P$74)-SUMPRODUCT($M$56:$S$56,J53:P53))</f>
        <v>0</v>
      </c>
      <c r="E88" s="118">
        <f>(1/7)*ABS(SUMPRODUCT($M$56:$S$56,$Q$74:$W$74)-SUMPRODUCT($M$56:$S$56,Q53:W53))</f>
        <v>0</v>
      </c>
      <c r="F88" s="119">
        <f>(1/7)*ABS(SUMPRODUCT($M$56:$S$56,$X$74:$AD$74)-SUMPRODUCT($M$56:$S$56,X53:AD53))</f>
        <v>0</v>
      </c>
      <c r="G88" s="15"/>
      <c r="I88" s="92" t="s">
        <v>97</v>
      </c>
      <c r="J88" s="117">
        <f t="shared" si="37"/>
        <v>0</v>
      </c>
      <c r="K88" s="118">
        <f t="shared" si="36"/>
        <v>0</v>
      </c>
      <c r="L88" s="118">
        <f t="shared" si="36"/>
        <v>0</v>
      </c>
      <c r="M88" s="118">
        <f t="shared" si="36"/>
        <v>0</v>
      </c>
      <c r="N88" s="119">
        <f t="shared" si="38"/>
        <v>0</v>
      </c>
    </row>
    <row r="90" spans="2:14" ht="15.75" thickBot="1" x14ac:dyDescent="0.3"/>
    <row r="91" spans="2:14" ht="15.75" thickBot="1" x14ac:dyDescent="0.3">
      <c r="B91" s="73" t="s">
        <v>93</v>
      </c>
      <c r="C91" s="76" t="s">
        <v>94</v>
      </c>
      <c r="D91" s="77" t="s">
        <v>95</v>
      </c>
    </row>
    <row r="92" spans="2:14" x14ac:dyDescent="0.25">
      <c r="B92" s="74" t="s">
        <v>1</v>
      </c>
      <c r="C92" s="28">
        <f>(N84)/(N77+N84)</f>
        <v>0.32663163471040935</v>
      </c>
      <c r="D92" s="46">
        <f>RANK(C92,$C$92:$C$96)</f>
        <v>4</v>
      </c>
    </row>
    <row r="93" spans="2:14" x14ac:dyDescent="0.25">
      <c r="B93" s="74" t="s">
        <v>2</v>
      </c>
      <c r="C93" s="1">
        <f>(N85)/(N78+N85)</f>
        <v>0.57519231907280788</v>
      </c>
      <c r="D93" s="47">
        <f t="shared" ref="D93:D96" si="39">RANK(C93,$C$92:$C$96)</f>
        <v>2</v>
      </c>
    </row>
    <row r="94" spans="2:14" x14ac:dyDescent="0.25">
      <c r="B94" s="74" t="s">
        <v>3</v>
      </c>
      <c r="C94" s="1">
        <f>(N86)/(N79+N86)</f>
        <v>0.60435607626104004</v>
      </c>
      <c r="D94" s="47">
        <f t="shared" si="39"/>
        <v>1</v>
      </c>
    </row>
    <row r="95" spans="2:14" x14ac:dyDescent="0.25">
      <c r="B95" s="88" t="s">
        <v>4</v>
      </c>
      <c r="C95" s="1">
        <f>(N87)/(N80+N87)</f>
        <v>0.56997145210868161</v>
      </c>
      <c r="D95" s="47">
        <f t="shared" si="39"/>
        <v>3</v>
      </c>
    </row>
    <row r="96" spans="2:14" ht="15.75" thickBot="1" x14ac:dyDescent="0.3">
      <c r="B96" s="120" t="s">
        <v>97</v>
      </c>
      <c r="C96" s="117">
        <f>(N88)/(N81+N88)</f>
        <v>0</v>
      </c>
      <c r="D96" s="119">
        <f t="shared" si="39"/>
        <v>5</v>
      </c>
    </row>
  </sheetData>
  <mergeCells count="26">
    <mergeCell ref="C48:I48"/>
    <mergeCell ref="J48:P48"/>
    <mergeCell ref="Q48:W48"/>
    <mergeCell ref="X48:AD48"/>
    <mergeCell ref="C72:I72"/>
    <mergeCell ref="J72:P72"/>
    <mergeCell ref="Q72:W72"/>
    <mergeCell ref="X72:AD72"/>
    <mergeCell ref="C35:I35"/>
    <mergeCell ref="J35:P35"/>
    <mergeCell ref="Q35:W35"/>
    <mergeCell ref="X35:AD35"/>
    <mergeCell ref="C42:I42"/>
    <mergeCell ref="J42:P42"/>
    <mergeCell ref="Q42:W42"/>
    <mergeCell ref="X42:AD42"/>
    <mergeCell ref="B2:B3"/>
    <mergeCell ref="C2:D2"/>
    <mergeCell ref="E2:F2"/>
    <mergeCell ref="G2:H2"/>
    <mergeCell ref="I2:J2"/>
    <mergeCell ref="B9:B10"/>
    <mergeCell ref="C9:D9"/>
    <mergeCell ref="E9:F9"/>
    <mergeCell ref="G9:H9"/>
    <mergeCell ref="I9:J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6"/>
  <sheetViews>
    <sheetView topLeftCell="A55" zoomScale="85" zoomScaleNormal="85" workbookViewId="0">
      <selection activeCell="G93" sqref="G93"/>
    </sheetView>
  </sheetViews>
  <sheetFormatPr defaultRowHeight="15" x14ac:dyDescent="0.25"/>
  <cols>
    <col min="2" max="2" width="17" bestFit="1" customWidth="1"/>
    <col min="3" max="3" width="11" customWidth="1"/>
    <col min="14" max="14" width="13.5703125" customWidth="1"/>
  </cols>
  <sheetData>
    <row r="1" spans="2:20" ht="15.75" thickBot="1" x14ac:dyDescent="0.3"/>
    <row r="2" spans="2:20" x14ac:dyDescent="0.25">
      <c r="B2" s="130" t="s">
        <v>0</v>
      </c>
      <c r="C2" s="132" t="s">
        <v>5</v>
      </c>
      <c r="D2" s="132"/>
      <c r="E2" s="132" t="s">
        <v>6</v>
      </c>
      <c r="F2" s="132"/>
      <c r="G2" s="132" t="s">
        <v>7</v>
      </c>
      <c r="H2" s="132"/>
      <c r="I2" s="132" t="s">
        <v>8</v>
      </c>
      <c r="J2" s="133"/>
      <c r="L2" s="20"/>
      <c r="M2" s="9"/>
      <c r="N2" s="9"/>
      <c r="O2" s="9"/>
      <c r="P2" s="9"/>
      <c r="Q2" s="9"/>
      <c r="R2" s="9"/>
      <c r="S2" s="9"/>
      <c r="T2" s="9"/>
    </row>
    <row r="3" spans="2:20" x14ac:dyDescent="0.25">
      <c r="B3" s="131"/>
      <c r="C3" s="6" t="s">
        <v>14</v>
      </c>
      <c r="D3" s="6" t="s">
        <v>15</v>
      </c>
      <c r="E3" s="6" t="s">
        <v>14</v>
      </c>
      <c r="F3" s="6" t="s">
        <v>15</v>
      </c>
      <c r="G3" s="6" t="s">
        <v>14</v>
      </c>
      <c r="H3" s="6" t="s">
        <v>15</v>
      </c>
      <c r="I3" s="6" t="s">
        <v>14</v>
      </c>
      <c r="J3" s="7" t="s">
        <v>15</v>
      </c>
      <c r="L3" s="20"/>
      <c r="M3" s="21"/>
      <c r="N3" s="21"/>
      <c r="O3" s="21"/>
      <c r="P3" s="21"/>
      <c r="Q3" s="21"/>
      <c r="R3" s="21"/>
      <c r="S3" s="21"/>
      <c r="T3" s="21"/>
    </row>
    <row r="4" spans="2:20" x14ac:dyDescent="0.25">
      <c r="B4" s="1" t="s">
        <v>1</v>
      </c>
      <c r="C4" s="3">
        <v>4</v>
      </c>
      <c r="D4" s="3">
        <v>4</v>
      </c>
      <c r="E4" s="3">
        <v>0</v>
      </c>
      <c r="F4" s="3">
        <v>0</v>
      </c>
      <c r="G4" s="3">
        <v>2</v>
      </c>
      <c r="H4" s="3">
        <v>2</v>
      </c>
      <c r="I4" s="3">
        <v>3</v>
      </c>
      <c r="J4" s="4">
        <v>3</v>
      </c>
      <c r="L4" s="11"/>
      <c r="M4" s="11"/>
      <c r="N4" s="11"/>
      <c r="O4" s="11"/>
      <c r="P4" s="11"/>
      <c r="Q4" s="11"/>
      <c r="R4" s="11"/>
      <c r="S4" s="11"/>
      <c r="T4" s="11"/>
    </row>
    <row r="5" spans="2:20" x14ac:dyDescent="0.25">
      <c r="B5" s="1" t="s">
        <v>2</v>
      </c>
      <c r="C5" s="3">
        <v>5</v>
      </c>
      <c r="D5" s="3">
        <v>5</v>
      </c>
      <c r="E5" s="3">
        <v>1</v>
      </c>
      <c r="F5" s="3">
        <v>1</v>
      </c>
      <c r="G5" s="3">
        <v>0</v>
      </c>
      <c r="H5" s="3">
        <v>0</v>
      </c>
      <c r="I5" s="3">
        <v>6</v>
      </c>
      <c r="J5" s="4">
        <v>6</v>
      </c>
      <c r="L5" s="11"/>
      <c r="M5" s="11"/>
      <c r="N5" s="11"/>
      <c r="O5" s="11"/>
      <c r="P5" s="11"/>
      <c r="Q5" s="11"/>
      <c r="R5" s="11"/>
      <c r="S5" s="11"/>
      <c r="T5" s="11"/>
    </row>
    <row r="6" spans="2:20" x14ac:dyDescent="0.25">
      <c r="B6" s="1" t="s">
        <v>3</v>
      </c>
      <c r="C6" s="3">
        <v>6</v>
      </c>
      <c r="D6" s="3">
        <v>6</v>
      </c>
      <c r="E6" s="3">
        <v>2</v>
      </c>
      <c r="F6" s="3">
        <v>2</v>
      </c>
      <c r="G6" s="3">
        <v>1</v>
      </c>
      <c r="H6" s="3">
        <v>1</v>
      </c>
      <c r="I6" s="3">
        <v>4</v>
      </c>
      <c r="J6" s="4">
        <v>4</v>
      </c>
      <c r="L6" s="11"/>
      <c r="M6" s="11"/>
      <c r="N6" s="11"/>
      <c r="O6" s="11"/>
      <c r="P6" s="11"/>
      <c r="Q6" s="11"/>
      <c r="R6" s="11"/>
      <c r="S6" s="11"/>
      <c r="T6" s="11"/>
    </row>
    <row r="7" spans="2:20" x14ac:dyDescent="0.25">
      <c r="B7" s="1" t="s">
        <v>4</v>
      </c>
      <c r="C7" s="3">
        <v>4</v>
      </c>
      <c r="D7" s="3">
        <v>4</v>
      </c>
      <c r="E7" s="3">
        <v>1</v>
      </c>
      <c r="F7" s="3">
        <v>1</v>
      </c>
      <c r="G7" s="3">
        <v>2</v>
      </c>
      <c r="H7" s="3">
        <v>2</v>
      </c>
      <c r="I7" s="3">
        <v>3</v>
      </c>
      <c r="J7" s="4">
        <v>3</v>
      </c>
      <c r="L7" s="11"/>
      <c r="M7" s="11"/>
      <c r="N7" s="11"/>
      <c r="O7" s="11"/>
      <c r="P7" s="11"/>
      <c r="Q7" s="11"/>
      <c r="R7" s="11"/>
      <c r="S7" s="11"/>
      <c r="T7" s="11"/>
    </row>
    <row r="8" spans="2:20" ht="15.75" thickBot="1" x14ac:dyDescent="0.3"/>
    <row r="9" spans="2:20" x14ac:dyDescent="0.25">
      <c r="B9" s="130" t="s">
        <v>9</v>
      </c>
      <c r="C9" s="132" t="s">
        <v>5</v>
      </c>
      <c r="D9" s="132"/>
      <c r="E9" s="132" t="s">
        <v>6</v>
      </c>
      <c r="F9" s="132"/>
      <c r="G9" s="132" t="s">
        <v>7</v>
      </c>
      <c r="H9" s="132"/>
      <c r="I9" s="132" t="s">
        <v>8</v>
      </c>
      <c r="J9" s="133"/>
    </row>
    <row r="10" spans="2:20" x14ac:dyDescent="0.25">
      <c r="B10" s="131"/>
      <c r="C10" s="6" t="s">
        <v>14</v>
      </c>
      <c r="D10" s="6" t="s">
        <v>15</v>
      </c>
      <c r="E10" s="6" t="s">
        <v>14</v>
      </c>
      <c r="F10" s="6" t="s">
        <v>15</v>
      </c>
      <c r="G10" s="6" t="s">
        <v>14</v>
      </c>
      <c r="H10" s="6" t="s">
        <v>15</v>
      </c>
      <c r="I10" s="6" t="s">
        <v>14</v>
      </c>
      <c r="J10" s="7" t="s">
        <v>15</v>
      </c>
    </row>
    <row r="11" spans="2:20" x14ac:dyDescent="0.25">
      <c r="B11" s="1" t="s">
        <v>1</v>
      </c>
      <c r="C11" s="3">
        <v>3</v>
      </c>
      <c r="D11" s="3">
        <v>4</v>
      </c>
      <c r="E11" s="3">
        <v>0</v>
      </c>
      <c r="F11" s="3">
        <v>1</v>
      </c>
      <c r="G11" s="3">
        <v>2</v>
      </c>
      <c r="H11" s="3">
        <v>3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1</v>
      </c>
      <c r="F12" s="3">
        <v>2</v>
      </c>
      <c r="G12" s="3">
        <v>0</v>
      </c>
      <c r="H12" s="3">
        <v>1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2</v>
      </c>
      <c r="F13" s="3">
        <v>3</v>
      </c>
      <c r="G13" s="3">
        <v>0</v>
      </c>
      <c r="H13" s="3">
        <v>1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2</v>
      </c>
      <c r="F14" s="3">
        <v>2</v>
      </c>
      <c r="G14" s="3">
        <v>2</v>
      </c>
      <c r="H14" s="3">
        <v>3</v>
      </c>
      <c r="I14" s="3">
        <v>5</v>
      </c>
      <c r="J14" s="4">
        <v>5</v>
      </c>
    </row>
    <row r="15" spans="2:20" ht="15.75" thickBot="1" x14ac:dyDescent="0.3"/>
    <row r="16" spans="2:20" x14ac:dyDescent="0.25">
      <c r="B16" s="39" t="s">
        <v>47</v>
      </c>
      <c r="C16" s="40" t="s">
        <v>5</v>
      </c>
      <c r="D16" s="40" t="s">
        <v>6</v>
      </c>
      <c r="E16" s="40" t="s">
        <v>7</v>
      </c>
      <c r="F16" s="41" t="s">
        <v>8</v>
      </c>
      <c r="G16" s="9"/>
      <c r="H16" s="39" t="s">
        <v>47</v>
      </c>
      <c r="I16" s="40" t="s">
        <v>5</v>
      </c>
      <c r="J16" s="40" t="s">
        <v>6</v>
      </c>
      <c r="K16" s="40" t="s">
        <v>7</v>
      </c>
      <c r="L16" s="41" t="s">
        <v>8</v>
      </c>
    </row>
    <row r="17" spans="2:12" x14ac:dyDescent="0.25">
      <c r="B17" s="42" t="s">
        <v>48</v>
      </c>
      <c r="C17" s="8">
        <f>ABS(MIN(C4:D4)-MIN(C4:D4))+ABS(MAX(C4:D4)-MAX(C4:D4))</f>
        <v>0</v>
      </c>
      <c r="D17" s="8">
        <f>ABS(MIN(E4:F4)-MIN(E4:F4))+ABS(MAX(E4:F4)-MAX(E4:F4))</f>
        <v>0</v>
      </c>
      <c r="E17" s="8">
        <f>ABS(MIN(G4:H4)-MIN(G4:H4))+ABS(MAX(G4:H4)-MAX(G4:H4))</f>
        <v>0</v>
      </c>
      <c r="F17" s="8">
        <f>ABS(MIN(I4:J4)-MIN(I4:J4))+ABS(MAX(I4:J4)-MAX(I4:J4))</f>
        <v>0</v>
      </c>
      <c r="G17" s="21"/>
      <c r="H17" s="42" t="s">
        <v>56</v>
      </c>
      <c r="I17" s="8">
        <f>C23</f>
        <v>1</v>
      </c>
      <c r="J17" s="8">
        <f>D23</f>
        <v>1</v>
      </c>
      <c r="K17" s="8">
        <f>E23</f>
        <v>1</v>
      </c>
      <c r="L17" s="8">
        <f>F23</f>
        <v>1</v>
      </c>
    </row>
    <row r="18" spans="2:12" x14ac:dyDescent="0.25">
      <c r="B18" s="43" t="s">
        <v>49</v>
      </c>
      <c r="C18" s="8">
        <f t="shared" ref="C18:C20" si="0">ABS(MIN(C5:D5)-MIN(C5:D5))+ABS(MAX(C5:D5)-MAX(C5:D5))</f>
        <v>0</v>
      </c>
      <c r="D18" s="8">
        <f t="shared" ref="D18:D20" si="1">ABS(MIN(E5:F5)-MIN(E5:F5))+ABS(MAX(E5:F5)-MAX(E5:F5))</f>
        <v>0</v>
      </c>
      <c r="E18" s="8">
        <f t="shared" ref="E18:E20" si="2">ABS(MIN(G5:H5)-MIN(G5:H5))+ABS(MAX(G5:H5)-MAX(G5:H5))</f>
        <v>0</v>
      </c>
      <c r="F18" s="8">
        <f t="shared" ref="F18:F20" si="3">ABS(MIN(I5:J5)-MIN(I5:J5))+ABS(MAX(I5:J5)-MAX(I5:J5))</f>
        <v>0</v>
      </c>
      <c r="G18" s="11"/>
      <c r="H18" s="43" t="s">
        <v>57</v>
      </c>
      <c r="I18" s="8">
        <f t="shared" ref="I18:L20" si="4">C24</f>
        <v>1</v>
      </c>
      <c r="J18" s="8">
        <f t="shared" si="4"/>
        <v>1</v>
      </c>
      <c r="K18" s="8">
        <f t="shared" si="4"/>
        <v>1</v>
      </c>
      <c r="L18" s="8">
        <f t="shared" si="4"/>
        <v>1</v>
      </c>
    </row>
    <row r="19" spans="2:12" x14ac:dyDescent="0.25">
      <c r="B19" s="43" t="s">
        <v>50</v>
      </c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11"/>
      <c r="H19" s="43" t="s">
        <v>58</v>
      </c>
      <c r="I19" s="8">
        <f t="shared" si="4"/>
        <v>1</v>
      </c>
      <c r="J19" s="8">
        <f t="shared" si="4"/>
        <v>1</v>
      </c>
      <c r="K19" s="8">
        <f t="shared" si="4"/>
        <v>1</v>
      </c>
      <c r="L19" s="8">
        <f t="shared" si="4"/>
        <v>1</v>
      </c>
    </row>
    <row r="20" spans="2:12" ht="15.75" thickBot="1" x14ac:dyDescent="0.3">
      <c r="B20" s="44" t="s">
        <v>51</v>
      </c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11"/>
      <c r="H20" s="44" t="s">
        <v>59</v>
      </c>
      <c r="I20" s="8">
        <f t="shared" si="4"/>
        <v>3</v>
      </c>
      <c r="J20" s="8">
        <f t="shared" si="4"/>
        <v>2</v>
      </c>
      <c r="K20" s="8">
        <f t="shared" si="4"/>
        <v>1</v>
      </c>
      <c r="L20" s="8">
        <f>F26</f>
        <v>4</v>
      </c>
    </row>
    <row r="21" spans="2:12" ht="15.75" thickBot="1" x14ac:dyDescent="0.3">
      <c r="B21" s="11"/>
      <c r="C21" s="11"/>
      <c r="D21" s="11"/>
      <c r="E21" s="11"/>
      <c r="F21" s="11"/>
      <c r="G21" s="11"/>
      <c r="H21" s="11"/>
      <c r="I21" s="11"/>
      <c r="J21" s="11"/>
    </row>
    <row r="22" spans="2:12" x14ac:dyDescent="0.25">
      <c r="B22" s="39" t="s">
        <v>47</v>
      </c>
      <c r="C22" s="40" t="s">
        <v>5</v>
      </c>
      <c r="D22" s="40" t="s">
        <v>6</v>
      </c>
      <c r="E22" s="40" t="s">
        <v>7</v>
      </c>
      <c r="F22" s="41" t="s">
        <v>8</v>
      </c>
      <c r="G22" s="11"/>
      <c r="H22" s="39" t="s">
        <v>47</v>
      </c>
      <c r="I22" s="40" t="s">
        <v>5</v>
      </c>
      <c r="J22" s="40" t="s">
        <v>6</v>
      </c>
      <c r="K22" s="40" t="s">
        <v>7</v>
      </c>
      <c r="L22" s="41" t="s">
        <v>8</v>
      </c>
    </row>
    <row r="23" spans="2:12" x14ac:dyDescent="0.25">
      <c r="B23" s="42" t="s">
        <v>52</v>
      </c>
      <c r="C23" s="8">
        <f>ABS(MIN(C11:D11)-MIN(C4:D4))+ABS(MAX(C11:D11)-MAX(C4:D4))</f>
        <v>1</v>
      </c>
      <c r="D23" s="8">
        <f>ABS(MIN(E11:F11)-MIN(E4:F4))+ABS(MAX(E11:F11)-MAX(E4:F4))</f>
        <v>1</v>
      </c>
      <c r="E23" s="8">
        <f>ABS(MIN(G11:H11)-MIN(G4:H4))+ABS(MAX(G11:H11)-MAX(G4:H4))</f>
        <v>1</v>
      </c>
      <c r="F23" s="8">
        <f>ABS(MIN(I11:J11)-MIN(I4:J4))+ABS(MAX(I11:J11)-MAX(I4:J4))</f>
        <v>1</v>
      </c>
      <c r="H23" s="42" t="s">
        <v>60</v>
      </c>
      <c r="I23" s="8">
        <f>ABS(MIN(C11:D11)-MIN(C11:D11))+ABS(MAX(C11:D11)-MAX(C11:D11))</f>
        <v>0</v>
      </c>
      <c r="J23" s="8">
        <f>ABS(MIN(E11:F11)-MIN(E11:F11))+ABS(MAX(E11:F11)-MAX(E11:F11))</f>
        <v>0</v>
      </c>
      <c r="K23" s="8">
        <f>ABS(MIN(G11:H11)-MIN(G11:H11))+ABS(MAX(G11:H11)-MAX(G11:H11))</f>
        <v>0</v>
      </c>
      <c r="L23" s="8">
        <f>ABS(MIN(I11:J11)-MIN(I11:J11))+ABS(MAX(I11:J11)-MAX(I11:J11))</f>
        <v>0</v>
      </c>
    </row>
    <row r="24" spans="2:12" x14ac:dyDescent="0.25">
      <c r="B24" s="43" t="s">
        <v>53</v>
      </c>
      <c r="C24" s="8">
        <f t="shared" ref="C24:C26" si="5">ABS(MIN(C12:D12)-MIN(C5:D5))+ABS(MAX(C12:D12)-MAX(C5:D5))</f>
        <v>1</v>
      </c>
      <c r="D24" s="8">
        <f t="shared" ref="D24:D26" si="6">ABS(MIN(E12:F12)-MIN(E5:F5))+ABS(MAX(E12:F12)-MAX(E5:F5))</f>
        <v>1</v>
      </c>
      <c r="E24" s="8">
        <f t="shared" ref="E24:E26" si="7">ABS(MIN(G12:H12)-MIN(G5:H5))+ABS(MAX(G12:H12)-MAX(G5:H5))</f>
        <v>1</v>
      </c>
      <c r="F24" s="8">
        <f t="shared" ref="F24:F25" si="8">ABS(MIN(I12:J12)-MIN(I5:J5))+ABS(MAX(I12:J12)-MAX(I5:J5))</f>
        <v>1</v>
      </c>
      <c r="H24" s="43" t="s">
        <v>61</v>
      </c>
      <c r="I24" s="8">
        <f t="shared" ref="I24:I26" si="9">ABS(MIN(C12:D12)-MIN(C12:D12))+ABS(MAX(C12:D12)-MAX(C12:D12))</f>
        <v>0</v>
      </c>
      <c r="J24" s="8">
        <f t="shared" ref="J24:J26" si="10">ABS(MIN(E12:F12)-MIN(E12:F12))+ABS(MAX(E12:F12)-MAX(E12:F12))</f>
        <v>0</v>
      </c>
      <c r="K24" s="8">
        <f t="shared" ref="K24:K25" si="11">ABS(MIN(G12:H12)-MIN(G12:H12))+ABS(MAX(G12:H12)-MAX(G12:H12))</f>
        <v>0</v>
      </c>
      <c r="L24" s="8">
        <f t="shared" ref="L24:L25" si="12">ABS(MIN(I12:J12)-MIN(I12:J12))+ABS(MAX(I12:J12)-MAX(I12:J12))</f>
        <v>0</v>
      </c>
    </row>
    <row r="25" spans="2:12" x14ac:dyDescent="0.25">
      <c r="B25" s="43" t="s">
        <v>54</v>
      </c>
      <c r="C25" s="8">
        <f t="shared" si="5"/>
        <v>1</v>
      </c>
      <c r="D25" s="8">
        <f t="shared" si="6"/>
        <v>1</v>
      </c>
      <c r="E25" s="8">
        <f t="shared" si="7"/>
        <v>1</v>
      </c>
      <c r="F25" s="8">
        <f t="shared" si="8"/>
        <v>1</v>
      </c>
      <c r="H25" s="43" t="s">
        <v>62</v>
      </c>
      <c r="I25" s="8">
        <f t="shared" si="9"/>
        <v>0</v>
      </c>
      <c r="J25" s="8">
        <f t="shared" si="10"/>
        <v>0</v>
      </c>
      <c r="K25" s="8">
        <f t="shared" si="11"/>
        <v>0</v>
      </c>
      <c r="L25" s="8">
        <f t="shared" si="12"/>
        <v>0</v>
      </c>
    </row>
    <row r="26" spans="2:12" ht="15.75" thickBot="1" x14ac:dyDescent="0.3">
      <c r="B26" s="44" t="s">
        <v>55</v>
      </c>
      <c r="C26" s="8">
        <f t="shared" si="5"/>
        <v>3</v>
      </c>
      <c r="D26" s="8">
        <f t="shared" si="6"/>
        <v>2</v>
      </c>
      <c r="E26" s="8">
        <f t="shared" si="7"/>
        <v>1</v>
      </c>
      <c r="F26" s="8">
        <f>ABS(MIN(I14:J14)-MIN(I7:J7))+ABS(MAX(I14:J14)-MAX(I7:J7))</f>
        <v>4</v>
      </c>
      <c r="H26" s="44" t="s">
        <v>63</v>
      </c>
      <c r="I26" s="8">
        <f t="shared" si="9"/>
        <v>0</v>
      </c>
      <c r="J26" s="8">
        <f t="shared" si="10"/>
        <v>0</v>
      </c>
      <c r="K26" s="8">
        <f>ABS(MIN(G14:H14)-MIN(G14:H14))+ABS(MAX(G14:H14)-MAX(G14:H14))</f>
        <v>0</v>
      </c>
      <c r="L26" s="8">
        <f>ABS(MIN(I14:J14)-MIN(I14:J14))+ABS(MAX(I14:J14)-MAX(I14:J14))</f>
        <v>0</v>
      </c>
    </row>
    <row r="28" spans="2:12" ht="15.75" thickBot="1" x14ac:dyDescent="0.3"/>
    <row r="29" spans="2:12" x14ac:dyDescent="0.25">
      <c r="B29" s="28" t="s">
        <v>64</v>
      </c>
      <c r="C29" s="45" t="s">
        <v>65</v>
      </c>
      <c r="D29" s="45" t="s">
        <v>66</v>
      </c>
      <c r="E29" s="45" t="s">
        <v>67</v>
      </c>
      <c r="F29" s="45" t="s">
        <v>68</v>
      </c>
      <c r="G29" s="46" t="s">
        <v>69</v>
      </c>
    </row>
    <row r="30" spans="2:12" x14ac:dyDescent="0.25">
      <c r="B30" s="1" t="s">
        <v>1</v>
      </c>
      <c r="C30" s="17">
        <f>SUM(C17:F17,C23:F23)</f>
        <v>4</v>
      </c>
      <c r="D30" s="17">
        <f>SUM(I17:L17,I23:L23)</f>
        <v>4</v>
      </c>
      <c r="E30" s="17">
        <f>SUM(C30:D30)</f>
        <v>8</v>
      </c>
      <c r="F30" s="17">
        <f>C30/E30</f>
        <v>0.5</v>
      </c>
      <c r="G30" s="47">
        <f>D30/E30</f>
        <v>0.5</v>
      </c>
    </row>
    <row r="31" spans="2:12" x14ac:dyDescent="0.25">
      <c r="B31" s="1" t="s">
        <v>2</v>
      </c>
      <c r="C31" s="17">
        <f t="shared" ref="C31:C33" si="13">SUM(C18:F18,C24:F24)</f>
        <v>4</v>
      </c>
      <c r="D31" s="17">
        <f t="shared" ref="D31:D33" si="14">SUM(I18:L18,I24:L24)</f>
        <v>4</v>
      </c>
      <c r="E31" s="17">
        <f t="shared" ref="E31:E33" si="15">SUM(C31:D31)</f>
        <v>8</v>
      </c>
      <c r="F31" s="17">
        <f t="shared" ref="F31:F33" si="16">C31/E31</f>
        <v>0.5</v>
      </c>
      <c r="G31" s="47">
        <f t="shared" ref="G31:G33" si="17">D31/E31</f>
        <v>0.5</v>
      </c>
    </row>
    <row r="32" spans="2:12" x14ac:dyDescent="0.25">
      <c r="B32" s="1" t="s">
        <v>3</v>
      </c>
      <c r="C32" s="17">
        <f t="shared" si="13"/>
        <v>4</v>
      </c>
      <c r="D32" s="17">
        <f t="shared" si="14"/>
        <v>4</v>
      </c>
      <c r="E32" s="17">
        <f t="shared" si="15"/>
        <v>8</v>
      </c>
      <c r="F32" s="17">
        <f t="shared" si="16"/>
        <v>0.5</v>
      </c>
      <c r="G32" s="47">
        <f t="shared" si="17"/>
        <v>0.5</v>
      </c>
    </row>
    <row r="33" spans="2:30" ht="15.75" thickBot="1" x14ac:dyDescent="0.3">
      <c r="B33" s="2" t="s">
        <v>4</v>
      </c>
      <c r="C33" s="35">
        <f t="shared" si="13"/>
        <v>10</v>
      </c>
      <c r="D33" s="35">
        <f t="shared" si="14"/>
        <v>10</v>
      </c>
      <c r="E33" s="35">
        <f t="shared" si="15"/>
        <v>20</v>
      </c>
      <c r="F33" s="35">
        <f t="shared" si="16"/>
        <v>0.5</v>
      </c>
      <c r="G33" s="48">
        <f t="shared" si="17"/>
        <v>0.5</v>
      </c>
    </row>
    <row r="34" spans="2:30" ht="15.75" thickBot="1" x14ac:dyDescent="0.3"/>
    <row r="35" spans="2:30" x14ac:dyDescent="0.25">
      <c r="B35" s="49" t="s">
        <v>70</v>
      </c>
      <c r="C35" s="127" t="s">
        <v>5</v>
      </c>
      <c r="D35" s="128"/>
      <c r="E35" s="128"/>
      <c r="F35" s="128"/>
      <c r="G35" s="128"/>
      <c r="H35" s="128"/>
      <c r="I35" s="129"/>
      <c r="J35" s="127" t="s">
        <v>6</v>
      </c>
      <c r="K35" s="128"/>
      <c r="L35" s="128"/>
      <c r="M35" s="128"/>
      <c r="N35" s="128"/>
      <c r="O35" s="128"/>
      <c r="P35" s="129"/>
      <c r="Q35" s="127" t="s">
        <v>7</v>
      </c>
      <c r="R35" s="128"/>
      <c r="S35" s="128"/>
      <c r="T35" s="128"/>
      <c r="U35" s="128"/>
      <c r="V35" s="128"/>
      <c r="W35" s="129"/>
      <c r="X35" s="127" t="s">
        <v>8</v>
      </c>
      <c r="Y35" s="128"/>
      <c r="Z35" s="128"/>
      <c r="AA35" s="128"/>
      <c r="AB35" s="128"/>
      <c r="AC35" s="128"/>
      <c r="AD35" s="129"/>
    </row>
    <row r="36" spans="2:30" x14ac:dyDescent="0.25">
      <c r="B36" s="50" t="s">
        <v>1</v>
      </c>
      <c r="C36" s="51">
        <v>0</v>
      </c>
      <c r="D36" s="51">
        <v>0</v>
      </c>
      <c r="E36" s="51">
        <v>0</v>
      </c>
      <c r="F36" s="51">
        <v>0</v>
      </c>
      <c r="G36" s="51">
        <v>1</v>
      </c>
      <c r="H36" s="51">
        <v>0</v>
      </c>
      <c r="I36" s="51">
        <v>0</v>
      </c>
      <c r="J36" s="51">
        <v>1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1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1</v>
      </c>
      <c r="AB36" s="51">
        <v>0</v>
      </c>
      <c r="AC36" s="51">
        <v>0</v>
      </c>
      <c r="AD36" s="51">
        <v>0</v>
      </c>
    </row>
    <row r="37" spans="2:30" x14ac:dyDescent="0.25">
      <c r="B37" s="50" t="s">
        <v>2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1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1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1</v>
      </c>
    </row>
    <row r="38" spans="2:30" x14ac:dyDescent="0.25">
      <c r="B38" s="50" t="s">
        <v>3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1</v>
      </c>
      <c r="AC38" s="51">
        <v>0</v>
      </c>
      <c r="AD38" s="51">
        <v>0</v>
      </c>
    </row>
    <row r="39" spans="2:30" x14ac:dyDescent="0.25">
      <c r="B39" s="50" t="s">
        <v>4</v>
      </c>
      <c r="C39" s="51">
        <v>0</v>
      </c>
      <c r="D39" s="51">
        <v>0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1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1</v>
      </c>
      <c r="AB39" s="51">
        <v>0</v>
      </c>
      <c r="AC39" s="51">
        <v>0</v>
      </c>
      <c r="AD39" s="51">
        <v>0</v>
      </c>
    </row>
    <row r="40" spans="2:30" x14ac:dyDescent="0.25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 ht="15.75" thickBot="1" x14ac:dyDescent="0.3">
      <c r="B41" s="52"/>
      <c r="C41" s="19">
        <v>0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0</v>
      </c>
      <c r="K41" s="19">
        <v>1</v>
      </c>
      <c r="L41" s="19">
        <v>2</v>
      </c>
      <c r="M41" s="19">
        <v>3</v>
      </c>
      <c r="N41" s="19">
        <v>4</v>
      </c>
      <c r="O41" s="19">
        <v>5</v>
      </c>
      <c r="P41" s="19">
        <v>6</v>
      </c>
      <c r="Q41" s="19">
        <v>0</v>
      </c>
      <c r="R41" s="19">
        <v>1</v>
      </c>
      <c r="S41" s="19">
        <v>2</v>
      </c>
      <c r="T41" s="19">
        <v>3</v>
      </c>
      <c r="U41" s="19">
        <v>4</v>
      </c>
      <c r="V41" s="19">
        <v>5</v>
      </c>
      <c r="W41" s="19">
        <v>6</v>
      </c>
      <c r="X41" s="19">
        <v>0</v>
      </c>
      <c r="Y41" s="19">
        <v>1</v>
      </c>
      <c r="Z41" s="19">
        <v>2</v>
      </c>
      <c r="AA41" s="19">
        <v>3</v>
      </c>
      <c r="AB41" s="19">
        <v>4</v>
      </c>
      <c r="AC41" s="19">
        <v>5</v>
      </c>
      <c r="AD41" s="19">
        <v>6</v>
      </c>
    </row>
    <row r="42" spans="2:30" x14ac:dyDescent="0.25">
      <c r="B42" s="49" t="s">
        <v>71</v>
      </c>
      <c r="C42" s="127" t="s">
        <v>5</v>
      </c>
      <c r="D42" s="128"/>
      <c r="E42" s="128"/>
      <c r="F42" s="128"/>
      <c r="G42" s="128"/>
      <c r="H42" s="128"/>
      <c r="I42" s="129"/>
      <c r="J42" s="127" t="s">
        <v>6</v>
      </c>
      <c r="K42" s="128"/>
      <c r="L42" s="128"/>
      <c r="M42" s="128"/>
      <c r="N42" s="128"/>
      <c r="O42" s="128"/>
      <c r="P42" s="129"/>
      <c r="Q42" s="127" t="s">
        <v>7</v>
      </c>
      <c r="R42" s="128"/>
      <c r="S42" s="128"/>
      <c r="T42" s="128"/>
      <c r="U42" s="128"/>
      <c r="V42" s="128"/>
      <c r="W42" s="129"/>
      <c r="X42" s="127" t="s">
        <v>8</v>
      </c>
      <c r="Y42" s="128"/>
      <c r="Z42" s="128"/>
      <c r="AA42" s="128"/>
      <c r="AB42" s="128"/>
      <c r="AC42" s="128"/>
      <c r="AD42" s="129"/>
    </row>
    <row r="43" spans="2:30" x14ac:dyDescent="0.25">
      <c r="B43" s="50" t="s">
        <v>1</v>
      </c>
      <c r="C43" s="51">
        <v>0</v>
      </c>
      <c r="D43" s="51">
        <v>0</v>
      </c>
      <c r="E43" s="51">
        <v>0</v>
      </c>
      <c r="F43" s="51">
        <v>0.5</v>
      </c>
      <c r="G43" s="51">
        <v>0.5</v>
      </c>
      <c r="H43" s="51">
        <v>0</v>
      </c>
      <c r="I43" s="51">
        <v>0</v>
      </c>
      <c r="J43" s="51">
        <v>0.5</v>
      </c>
      <c r="K43" s="51">
        <v>0.5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0.5</v>
      </c>
      <c r="T43" s="51">
        <v>0.5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0.5</v>
      </c>
      <c r="AA43" s="51">
        <v>0.5</v>
      </c>
      <c r="AB43" s="51">
        <v>0</v>
      </c>
      <c r="AC43" s="51">
        <v>0</v>
      </c>
      <c r="AD43" s="51">
        <v>0</v>
      </c>
    </row>
    <row r="44" spans="2:30" x14ac:dyDescent="0.25">
      <c r="B44" s="50" t="s">
        <v>2</v>
      </c>
      <c r="C44" s="51">
        <v>0</v>
      </c>
      <c r="D44" s="51">
        <v>0</v>
      </c>
      <c r="E44" s="51">
        <v>0</v>
      </c>
      <c r="F44" s="51">
        <v>0</v>
      </c>
      <c r="G44" s="51">
        <v>0.5</v>
      </c>
      <c r="H44" s="51">
        <v>0.5</v>
      </c>
      <c r="I44" s="51">
        <v>0</v>
      </c>
      <c r="J44" s="51">
        <v>0</v>
      </c>
      <c r="K44" s="51">
        <v>0.5</v>
      </c>
      <c r="L44" s="51">
        <v>0.5</v>
      </c>
      <c r="M44" s="51">
        <v>0</v>
      </c>
      <c r="N44" s="51">
        <v>0</v>
      </c>
      <c r="O44" s="51">
        <v>0</v>
      </c>
      <c r="P44" s="51">
        <v>0</v>
      </c>
      <c r="Q44" s="51">
        <v>0.5</v>
      </c>
      <c r="R44" s="51">
        <v>0.5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0.5</v>
      </c>
      <c r="AD44" s="51">
        <v>0.5</v>
      </c>
    </row>
    <row r="45" spans="2:30" x14ac:dyDescent="0.25">
      <c r="B45" s="50" t="s">
        <v>3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0.5</v>
      </c>
      <c r="I45" s="51">
        <v>0.5</v>
      </c>
      <c r="J45" s="51">
        <v>0</v>
      </c>
      <c r="K45" s="51">
        <v>0</v>
      </c>
      <c r="L45" s="51">
        <v>0.5</v>
      </c>
      <c r="M45" s="51">
        <v>0.5</v>
      </c>
      <c r="N45" s="51">
        <v>0</v>
      </c>
      <c r="O45" s="51">
        <v>0</v>
      </c>
      <c r="P45" s="51">
        <v>0</v>
      </c>
      <c r="Q45" s="51">
        <v>0.5</v>
      </c>
      <c r="R45" s="51">
        <v>0.5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0.5</v>
      </c>
      <c r="AC45" s="51">
        <v>0.5</v>
      </c>
      <c r="AD45" s="51">
        <v>0</v>
      </c>
    </row>
    <row r="46" spans="2:30" x14ac:dyDescent="0.25">
      <c r="B46" s="50" t="s">
        <v>4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0.5</v>
      </c>
      <c r="I46" s="51">
        <v>0.5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0.5</v>
      </c>
      <c r="T46" s="51">
        <v>0.5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1</v>
      </c>
      <c r="AD46" s="51">
        <v>0</v>
      </c>
    </row>
    <row r="47" spans="2:30" ht="15.75" thickBot="1" x14ac:dyDescent="0.3"/>
    <row r="48" spans="2:30" x14ac:dyDescent="0.25">
      <c r="B48" s="54"/>
      <c r="C48" s="127" t="s">
        <v>5</v>
      </c>
      <c r="D48" s="128"/>
      <c r="E48" s="128"/>
      <c r="F48" s="128"/>
      <c r="G48" s="128"/>
      <c r="H48" s="128"/>
      <c r="I48" s="129"/>
      <c r="J48" s="127" t="s">
        <v>6</v>
      </c>
      <c r="K48" s="128"/>
      <c r="L48" s="128"/>
      <c r="M48" s="128"/>
      <c r="N48" s="128"/>
      <c r="O48" s="128"/>
      <c r="P48" s="129"/>
      <c r="Q48" s="127" t="s">
        <v>7</v>
      </c>
      <c r="R48" s="128"/>
      <c r="S48" s="128"/>
      <c r="T48" s="128"/>
      <c r="U48" s="128"/>
      <c r="V48" s="128"/>
      <c r="W48" s="129"/>
      <c r="X48" s="127" t="s">
        <v>8</v>
      </c>
      <c r="Y48" s="128"/>
      <c r="Z48" s="128"/>
      <c r="AA48" s="128"/>
      <c r="AB48" s="128"/>
      <c r="AC48" s="128"/>
      <c r="AD48" s="129"/>
    </row>
    <row r="49" spans="2:30" x14ac:dyDescent="0.25">
      <c r="B49" s="55" t="s">
        <v>1</v>
      </c>
      <c r="C49" s="56">
        <f t="shared" ref="C49:AD52" si="18">SUM(C36*$F$30,C43*$G$30)</f>
        <v>0</v>
      </c>
      <c r="D49" s="56">
        <f t="shared" si="18"/>
        <v>0</v>
      </c>
      <c r="E49" s="56">
        <f t="shared" si="18"/>
        <v>0</v>
      </c>
      <c r="F49" s="56">
        <f t="shared" si="18"/>
        <v>0.25</v>
      </c>
      <c r="G49" s="56">
        <f t="shared" si="18"/>
        <v>0.75</v>
      </c>
      <c r="H49" s="56">
        <f t="shared" si="18"/>
        <v>0</v>
      </c>
      <c r="I49" s="56">
        <f t="shared" si="18"/>
        <v>0</v>
      </c>
      <c r="J49" s="56">
        <f t="shared" si="18"/>
        <v>0.75</v>
      </c>
      <c r="K49" s="56">
        <f t="shared" si="18"/>
        <v>0.25</v>
      </c>
      <c r="L49" s="56">
        <f t="shared" si="18"/>
        <v>0</v>
      </c>
      <c r="M49" s="56">
        <f t="shared" si="18"/>
        <v>0</v>
      </c>
      <c r="N49" s="56">
        <f t="shared" si="18"/>
        <v>0</v>
      </c>
      <c r="O49" s="56">
        <f t="shared" si="18"/>
        <v>0</v>
      </c>
      <c r="P49" s="56">
        <f t="shared" si="18"/>
        <v>0</v>
      </c>
      <c r="Q49" s="56">
        <f t="shared" si="18"/>
        <v>0</v>
      </c>
      <c r="R49" s="56">
        <f t="shared" si="18"/>
        <v>0</v>
      </c>
      <c r="S49" s="56">
        <f t="shared" si="18"/>
        <v>0.75</v>
      </c>
      <c r="T49" s="56">
        <f t="shared" si="18"/>
        <v>0.25</v>
      </c>
      <c r="U49" s="56">
        <f t="shared" si="18"/>
        <v>0</v>
      </c>
      <c r="V49" s="56">
        <f t="shared" si="18"/>
        <v>0</v>
      </c>
      <c r="W49" s="56">
        <f t="shared" si="18"/>
        <v>0</v>
      </c>
      <c r="X49" s="56">
        <f t="shared" si="18"/>
        <v>0</v>
      </c>
      <c r="Y49" s="56">
        <f t="shared" si="18"/>
        <v>0</v>
      </c>
      <c r="Z49" s="56">
        <f t="shared" si="18"/>
        <v>0.25</v>
      </c>
      <c r="AA49" s="56">
        <f t="shared" si="18"/>
        <v>0.75</v>
      </c>
      <c r="AB49" s="56">
        <f t="shared" si="18"/>
        <v>0</v>
      </c>
      <c r="AC49" s="56">
        <f t="shared" si="18"/>
        <v>0</v>
      </c>
      <c r="AD49" s="56">
        <f t="shared" si="18"/>
        <v>0</v>
      </c>
    </row>
    <row r="50" spans="2:30" x14ac:dyDescent="0.25">
      <c r="B50" s="55" t="s">
        <v>2</v>
      </c>
      <c r="C50" s="56">
        <f t="shared" si="18"/>
        <v>0</v>
      </c>
      <c r="D50" s="56">
        <f t="shared" si="18"/>
        <v>0</v>
      </c>
      <c r="E50" s="56">
        <f t="shared" si="18"/>
        <v>0</v>
      </c>
      <c r="F50" s="56">
        <f t="shared" si="18"/>
        <v>0</v>
      </c>
      <c r="G50" s="56">
        <f t="shared" si="18"/>
        <v>0.25</v>
      </c>
      <c r="H50" s="56">
        <f t="shared" si="18"/>
        <v>0.75</v>
      </c>
      <c r="I50" s="56">
        <f t="shared" si="18"/>
        <v>0</v>
      </c>
      <c r="J50" s="56">
        <f t="shared" si="18"/>
        <v>0</v>
      </c>
      <c r="K50" s="56">
        <f t="shared" si="18"/>
        <v>0.75</v>
      </c>
      <c r="L50" s="56">
        <f t="shared" si="18"/>
        <v>0.25</v>
      </c>
      <c r="M50" s="56">
        <f t="shared" si="18"/>
        <v>0</v>
      </c>
      <c r="N50" s="56">
        <f t="shared" si="18"/>
        <v>0</v>
      </c>
      <c r="O50" s="56">
        <f t="shared" si="18"/>
        <v>0</v>
      </c>
      <c r="P50" s="56">
        <f t="shared" si="18"/>
        <v>0</v>
      </c>
      <c r="Q50" s="56">
        <f t="shared" si="18"/>
        <v>0.75</v>
      </c>
      <c r="R50" s="56">
        <f t="shared" si="18"/>
        <v>0.25</v>
      </c>
      <c r="S50" s="56">
        <f t="shared" si="18"/>
        <v>0</v>
      </c>
      <c r="T50" s="56">
        <f t="shared" si="18"/>
        <v>0</v>
      </c>
      <c r="U50" s="56">
        <f t="shared" si="18"/>
        <v>0</v>
      </c>
      <c r="V50" s="56">
        <f t="shared" si="18"/>
        <v>0</v>
      </c>
      <c r="W50" s="56">
        <f t="shared" si="18"/>
        <v>0</v>
      </c>
      <c r="X50" s="56">
        <f t="shared" si="18"/>
        <v>0</v>
      </c>
      <c r="Y50" s="56">
        <f t="shared" si="18"/>
        <v>0</v>
      </c>
      <c r="Z50" s="56">
        <f t="shared" si="18"/>
        <v>0</v>
      </c>
      <c r="AA50" s="56">
        <f t="shared" si="18"/>
        <v>0</v>
      </c>
      <c r="AB50" s="56">
        <f t="shared" si="18"/>
        <v>0</v>
      </c>
      <c r="AC50" s="56">
        <f t="shared" si="18"/>
        <v>0.25</v>
      </c>
      <c r="AD50" s="56">
        <f t="shared" si="18"/>
        <v>0.75</v>
      </c>
    </row>
    <row r="51" spans="2:30" x14ac:dyDescent="0.25">
      <c r="B51" s="55" t="s">
        <v>3</v>
      </c>
      <c r="C51" s="56">
        <f t="shared" si="18"/>
        <v>0</v>
      </c>
      <c r="D51" s="56">
        <f t="shared" si="18"/>
        <v>0</v>
      </c>
      <c r="E51" s="56">
        <f t="shared" si="18"/>
        <v>0</v>
      </c>
      <c r="F51" s="56">
        <f t="shared" si="18"/>
        <v>0</v>
      </c>
      <c r="G51" s="56">
        <f t="shared" si="18"/>
        <v>0</v>
      </c>
      <c r="H51" s="56">
        <f t="shared" si="18"/>
        <v>0.25</v>
      </c>
      <c r="I51" s="56">
        <f t="shared" si="18"/>
        <v>0.75</v>
      </c>
      <c r="J51" s="56">
        <f t="shared" si="18"/>
        <v>0</v>
      </c>
      <c r="K51" s="56">
        <f t="shared" si="18"/>
        <v>0</v>
      </c>
      <c r="L51" s="56">
        <f t="shared" si="18"/>
        <v>0.75</v>
      </c>
      <c r="M51" s="56">
        <f t="shared" si="18"/>
        <v>0.25</v>
      </c>
      <c r="N51" s="56">
        <f t="shared" si="18"/>
        <v>0</v>
      </c>
      <c r="O51" s="56">
        <f t="shared" si="18"/>
        <v>0</v>
      </c>
      <c r="P51" s="56">
        <f t="shared" si="18"/>
        <v>0</v>
      </c>
      <c r="Q51" s="56">
        <f t="shared" si="18"/>
        <v>0.25</v>
      </c>
      <c r="R51" s="56">
        <f t="shared" si="18"/>
        <v>0.75</v>
      </c>
      <c r="S51" s="56">
        <f t="shared" si="18"/>
        <v>0</v>
      </c>
      <c r="T51" s="56">
        <f t="shared" si="18"/>
        <v>0</v>
      </c>
      <c r="U51" s="56">
        <f t="shared" si="18"/>
        <v>0</v>
      </c>
      <c r="V51" s="56">
        <f t="shared" si="18"/>
        <v>0</v>
      </c>
      <c r="W51" s="56">
        <f t="shared" si="18"/>
        <v>0</v>
      </c>
      <c r="X51" s="56">
        <f t="shared" si="18"/>
        <v>0</v>
      </c>
      <c r="Y51" s="56">
        <f t="shared" si="18"/>
        <v>0</v>
      </c>
      <c r="Z51" s="56">
        <f t="shared" si="18"/>
        <v>0</v>
      </c>
      <c r="AA51" s="56">
        <f t="shared" si="18"/>
        <v>0</v>
      </c>
      <c r="AB51" s="56">
        <f t="shared" si="18"/>
        <v>0.75</v>
      </c>
      <c r="AC51" s="56">
        <f t="shared" si="18"/>
        <v>0.25</v>
      </c>
      <c r="AD51" s="56">
        <f t="shared" si="18"/>
        <v>0</v>
      </c>
    </row>
    <row r="52" spans="2:30" ht="15.75" thickBot="1" x14ac:dyDescent="0.3">
      <c r="B52" s="55" t="s">
        <v>4</v>
      </c>
      <c r="C52" s="56">
        <f t="shared" si="18"/>
        <v>0</v>
      </c>
      <c r="D52" s="56">
        <f t="shared" si="18"/>
        <v>0</v>
      </c>
      <c r="E52" s="56">
        <f t="shared" si="18"/>
        <v>0</v>
      </c>
      <c r="F52" s="56">
        <f t="shared" si="18"/>
        <v>0</v>
      </c>
      <c r="G52" s="56">
        <f t="shared" si="18"/>
        <v>0.5</v>
      </c>
      <c r="H52" s="56">
        <f t="shared" si="18"/>
        <v>0.25</v>
      </c>
      <c r="I52" s="56">
        <f t="shared" si="18"/>
        <v>0.25</v>
      </c>
      <c r="J52" s="56">
        <f t="shared" si="18"/>
        <v>0</v>
      </c>
      <c r="K52" s="56">
        <f t="shared" si="18"/>
        <v>0.5</v>
      </c>
      <c r="L52" s="56">
        <f t="shared" si="18"/>
        <v>0.5</v>
      </c>
      <c r="M52" s="56">
        <f t="shared" si="18"/>
        <v>0</v>
      </c>
      <c r="N52" s="56">
        <f t="shared" si="18"/>
        <v>0</v>
      </c>
      <c r="O52" s="56">
        <f t="shared" si="18"/>
        <v>0</v>
      </c>
      <c r="P52" s="56">
        <f t="shared" si="18"/>
        <v>0</v>
      </c>
      <c r="Q52" s="56">
        <f t="shared" si="18"/>
        <v>0</v>
      </c>
      <c r="R52" s="56">
        <f t="shared" si="18"/>
        <v>0</v>
      </c>
      <c r="S52" s="56">
        <f t="shared" si="18"/>
        <v>0.75</v>
      </c>
      <c r="T52" s="56">
        <f t="shared" si="18"/>
        <v>0.25</v>
      </c>
      <c r="U52" s="56">
        <f t="shared" si="18"/>
        <v>0</v>
      </c>
      <c r="V52" s="56">
        <f t="shared" si="18"/>
        <v>0</v>
      </c>
      <c r="W52" s="56">
        <f t="shared" si="18"/>
        <v>0</v>
      </c>
      <c r="X52" s="56">
        <f t="shared" si="18"/>
        <v>0</v>
      </c>
      <c r="Y52" s="56">
        <f t="shared" si="18"/>
        <v>0</v>
      </c>
      <c r="Z52" s="56">
        <f t="shared" si="18"/>
        <v>0</v>
      </c>
      <c r="AA52" s="56">
        <f t="shared" si="18"/>
        <v>0.5</v>
      </c>
      <c r="AB52" s="56">
        <f t="shared" si="18"/>
        <v>0</v>
      </c>
      <c r="AC52" s="56">
        <f t="shared" si="18"/>
        <v>0.5</v>
      </c>
      <c r="AD52" s="56">
        <f t="shared" si="18"/>
        <v>0</v>
      </c>
    </row>
    <row r="53" spans="2:30" x14ac:dyDescent="0.25">
      <c r="B53" s="93" t="s">
        <v>98</v>
      </c>
      <c r="C53" s="94">
        <f>C51</f>
        <v>0</v>
      </c>
      <c r="D53" s="94">
        <f t="shared" ref="D53:AD53" si="19">D51</f>
        <v>0</v>
      </c>
      <c r="E53" s="94">
        <f t="shared" si="19"/>
        <v>0</v>
      </c>
      <c r="F53" s="94">
        <f t="shared" si="19"/>
        <v>0</v>
      </c>
      <c r="G53" s="94">
        <f t="shared" si="19"/>
        <v>0</v>
      </c>
      <c r="H53" s="94">
        <f t="shared" si="19"/>
        <v>0.25</v>
      </c>
      <c r="I53" s="94">
        <f t="shared" si="19"/>
        <v>0.75</v>
      </c>
      <c r="J53" s="94">
        <f t="shared" si="19"/>
        <v>0</v>
      </c>
      <c r="K53" s="94">
        <f t="shared" si="19"/>
        <v>0</v>
      </c>
      <c r="L53" s="94">
        <f t="shared" si="19"/>
        <v>0.75</v>
      </c>
      <c r="M53" s="94">
        <f t="shared" si="19"/>
        <v>0.25</v>
      </c>
      <c r="N53" s="94">
        <f t="shared" si="19"/>
        <v>0</v>
      </c>
      <c r="O53" s="94">
        <f t="shared" si="19"/>
        <v>0</v>
      </c>
      <c r="P53" s="94">
        <f t="shared" si="19"/>
        <v>0</v>
      </c>
      <c r="Q53" s="94">
        <f t="shared" si="19"/>
        <v>0.25</v>
      </c>
      <c r="R53" s="94">
        <f t="shared" si="19"/>
        <v>0.75</v>
      </c>
      <c r="S53" s="94">
        <f t="shared" si="19"/>
        <v>0</v>
      </c>
      <c r="T53" s="94">
        <f t="shared" si="19"/>
        <v>0</v>
      </c>
      <c r="U53" s="94">
        <f t="shared" si="19"/>
        <v>0</v>
      </c>
      <c r="V53" s="94">
        <f t="shared" si="19"/>
        <v>0</v>
      </c>
      <c r="W53" s="94">
        <f t="shared" si="19"/>
        <v>0</v>
      </c>
      <c r="X53" s="94">
        <f t="shared" si="19"/>
        <v>0</v>
      </c>
      <c r="Y53" s="94">
        <f t="shared" si="19"/>
        <v>0</v>
      </c>
      <c r="Z53" s="94">
        <f t="shared" si="19"/>
        <v>0</v>
      </c>
      <c r="AA53" s="94">
        <f t="shared" si="19"/>
        <v>0</v>
      </c>
      <c r="AB53" s="94">
        <f t="shared" si="19"/>
        <v>0.75</v>
      </c>
      <c r="AC53" s="94">
        <f t="shared" si="19"/>
        <v>0.25</v>
      </c>
      <c r="AD53" s="94">
        <f t="shared" si="19"/>
        <v>0</v>
      </c>
    </row>
    <row r="54" spans="2:30" ht="15.75" thickBot="1" x14ac:dyDescent="0.3"/>
    <row r="55" spans="2:30" ht="15.75" thickBot="1" x14ac:dyDescent="0.3">
      <c r="C55" s="18"/>
      <c r="D55" s="57" t="s">
        <v>72</v>
      </c>
      <c r="E55" s="58"/>
      <c r="F55" s="58"/>
      <c r="G55" s="58"/>
      <c r="I55" s="81"/>
      <c r="J55" s="15"/>
      <c r="L55" s="62" t="s">
        <v>76</v>
      </c>
      <c r="M55" s="97" t="s">
        <v>77</v>
      </c>
      <c r="N55" s="97" t="s">
        <v>78</v>
      </c>
      <c r="O55" s="97" t="s">
        <v>79</v>
      </c>
      <c r="P55" s="97" t="s">
        <v>80</v>
      </c>
      <c r="Q55" s="97" t="s">
        <v>81</v>
      </c>
      <c r="R55" s="97" t="s">
        <v>82</v>
      </c>
      <c r="S55" s="98" t="s">
        <v>83</v>
      </c>
    </row>
    <row r="56" spans="2:30" ht="15.75" thickBot="1" x14ac:dyDescent="0.3">
      <c r="C56" s="52"/>
      <c r="D56" s="100" t="s">
        <v>5</v>
      </c>
      <c r="E56" s="95" t="s">
        <v>6</v>
      </c>
      <c r="F56" s="95" t="s">
        <v>7</v>
      </c>
      <c r="G56" s="96" t="s">
        <v>8</v>
      </c>
      <c r="I56" s="61"/>
      <c r="J56" s="15"/>
      <c r="L56" s="63" t="s">
        <v>84</v>
      </c>
      <c r="M56" s="64">
        <v>0</v>
      </c>
      <c r="N56" s="64">
        <v>1</v>
      </c>
      <c r="O56" s="64">
        <v>2</v>
      </c>
      <c r="P56" s="64">
        <v>3</v>
      </c>
      <c r="Q56" s="64">
        <v>4</v>
      </c>
      <c r="R56" s="64">
        <v>5</v>
      </c>
      <c r="S56" s="65">
        <v>6</v>
      </c>
    </row>
    <row r="57" spans="2:30" x14ac:dyDescent="0.25">
      <c r="C57" s="50" t="s">
        <v>1</v>
      </c>
      <c r="D57" s="109">
        <f>SUMPRODUCT(C49:I49,$C$41:$I$41)</f>
        <v>3.75</v>
      </c>
      <c r="E57" s="110">
        <f>SUMPRODUCT(J49:P49,$C$41:$I$41)</f>
        <v>0.25</v>
      </c>
      <c r="F57" s="110">
        <f>SUMPRODUCT(Q49:W49,$C$41:$I$41)</f>
        <v>2.25</v>
      </c>
      <c r="G57" s="111">
        <f>SUMPRODUCT(X49:AD49,$C$41:$I$41)</f>
        <v>2.75</v>
      </c>
      <c r="I57" s="81"/>
      <c r="J57" s="15"/>
    </row>
    <row r="58" spans="2:30" x14ac:dyDescent="0.25">
      <c r="C58" s="50" t="s">
        <v>2</v>
      </c>
      <c r="D58" s="59">
        <f>SUMPRODUCT(C50:I50,$C$41:$I$41)</f>
        <v>4.75</v>
      </c>
      <c r="E58" s="108">
        <f>SUMPRODUCT(J50:P50,$C$41:$I$41)</f>
        <v>1.25</v>
      </c>
      <c r="F58" s="108">
        <f>SUMPRODUCT(Q50:W50,$C$41:$I$41)</f>
        <v>0.25</v>
      </c>
      <c r="G58" s="112">
        <f t="shared" ref="G58" si="20">SUMPRODUCT(X50:AD50,$C$41:$I$41)</f>
        <v>5.75</v>
      </c>
      <c r="I58" s="81"/>
      <c r="J58" s="15"/>
    </row>
    <row r="59" spans="2:30" x14ac:dyDescent="0.25">
      <c r="C59" s="50" t="s">
        <v>3</v>
      </c>
      <c r="D59" s="59">
        <f>SUMPRODUCT(C51:I51,$C$41:$I$41)</f>
        <v>5.75</v>
      </c>
      <c r="E59" s="108">
        <f>SUMPRODUCT(J51:P51,$C$41:$I$41)</f>
        <v>2.25</v>
      </c>
      <c r="F59" s="108">
        <f>SUMPRODUCT(Q51:W51,$C$41:$I$41)</f>
        <v>0.75</v>
      </c>
      <c r="G59" s="112">
        <f>SUMPRODUCT(X51:AD51,$C$41:$I$41)</f>
        <v>4.25</v>
      </c>
      <c r="I59" s="81"/>
      <c r="J59" s="15"/>
    </row>
    <row r="60" spans="2:30" x14ac:dyDescent="0.25">
      <c r="C60" s="50" t="s">
        <v>4</v>
      </c>
      <c r="D60" s="59">
        <f>SUMPRODUCT(C52:I52,$C$41:$I$41)</f>
        <v>4.75</v>
      </c>
      <c r="E60" s="108">
        <f>SUMPRODUCT(J52:P52,$C$41:$I$41)</f>
        <v>1.5</v>
      </c>
      <c r="F60" s="108">
        <f>SUMPRODUCT(Q52:W52,$C$41:$I$41)</f>
        <v>2.25</v>
      </c>
      <c r="G60" s="112">
        <f>SUMPRODUCT(X52:AD52,$C$41:$I$41)</f>
        <v>4</v>
      </c>
    </row>
    <row r="61" spans="2:30" ht="15.75" thickBot="1" x14ac:dyDescent="0.3">
      <c r="C61" s="116" t="s">
        <v>98</v>
      </c>
      <c r="D61" s="124">
        <f>SUMPRODUCT(C53:I53,$C$41:$I$41)</f>
        <v>5.75</v>
      </c>
      <c r="E61" s="125">
        <f>SUMPRODUCT(J53:P53,$C$41:$I$41)</f>
        <v>2.25</v>
      </c>
      <c r="F61" s="125">
        <f>SUMPRODUCT(Q53:W53,$C$41:$I$41)</f>
        <v>0.75</v>
      </c>
      <c r="G61" s="126">
        <f>SUMPRODUCT(X53:AD53,$C$41:$I$41)</f>
        <v>4.25</v>
      </c>
    </row>
    <row r="62" spans="2:30" ht="15.75" thickBot="1" x14ac:dyDescent="0.3">
      <c r="C62" s="18"/>
      <c r="D62" s="60">
        <f>COUNTIF(D57:D60,MAX(D57:D60))</f>
        <v>1</v>
      </c>
      <c r="E62" s="60">
        <f t="shared" ref="E62:G62" si="21">COUNTIF(E57:E60,MAX(E57:E60))</f>
        <v>1</v>
      </c>
      <c r="F62" s="60">
        <f t="shared" si="21"/>
        <v>2</v>
      </c>
      <c r="G62" s="60">
        <f t="shared" si="21"/>
        <v>1</v>
      </c>
    </row>
    <row r="63" spans="2:30" x14ac:dyDescent="0.25">
      <c r="C63" s="54"/>
      <c r="D63" s="60">
        <f>COUNTIF(D57:D60,MIN(D57:D60))</f>
        <v>1</v>
      </c>
      <c r="E63" s="60">
        <f t="shared" ref="E63:G63" si="22">COUNTIF(E57:E60,MIN(E57:E60))</f>
        <v>1</v>
      </c>
      <c r="F63" s="60">
        <f t="shared" si="22"/>
        <v>1</v>
      </c>
      <c r="G63" s="60">
        <f t="shared" si="22"/>
        <v>1</v>
      </c>
      <c r="I63" s="83" t="s">
        <v>75</v>
      </c>
      <c r="J63" s="45" t="s">
        <v>5</v>
      </c>
      <c r="K63" s="45" t="s">
        <v>6</v>
      </c>
      <c r="L63" s="45" t="s">
        <v>7</v>
      </c>
      <c r="M63" s="46" t="s">
        <v>8</v>
      </c>
    </row>
    <row r="64" spans="2:30" ht="15.75" thickBot="1" x14ac:dyDescent="0.3">
      <c r="C64" s="57" t="s">
        <v>73</v>
      </c>
      <c r="D64" s="58"/>
      <c r="E64" s="58"/>
      <c r="F64" s="58"/>
      <c r="G64" s="58"/>
      <c r="I64" s="2"/>
      <c r="J64" s="35">
        <v>0.25</v>
      </c>
      <c r="K64" s="35">
        <v>0.25</v>
      </c>
      <c r="L64" s="35">
        <v>0.25</v>
      </c>
      <c r="M64" s="48">
        <v>0.25</v>
      </c>
    </row>
    <row r="65" spans="2:30" ht="15.75" thickBot="1" x14ac:dyDescent="0.3">
      <c r="C65" s="52"/>
      <c r="D65" s="100" t="s">
        <v>5</v>
      </c>
      <c r="E65" s="95" t="s">
        <v>6</v>
      </c>
      <c r="F65" s="95" t="s">
        <v>7</v>
      </c>
      <c r="G65" s="96" t="s">
        <v>8</v>
      </c>
    </row>
    <row r="66" spans="2:30" x14ac:dyDescent="0.25">
      <c r="C66" s="50" t="s">
        <v>1</v>
      </c>
      <c r="D66" s="101">
        <f>SUM(($M$56-D57)^2*C49,($N$56-D57)^2*D49,($O$56-D57)^2*E49,($P$56-D57)^2*F49,($Q$56-D57)^2*G49,($R$56-D57)^2*H49,($S$56-D57)^2*I49)</f>
        <v>0.1875</v>
      </c>
      <c r="E66" s="102">
        <f>SUM(($M$56-E57)^2*J49,($N$56-E57)^2*K49,($O$56-E57)^2*L49,($P$56-E57)^2*M49,($Q$56-E57)^2*N49,($R$56-E57)^2*O49,($S$56-E57)^2*P49)</f>
        <v>0.1875</v>
      </c>
      <c r="F66" s="102">
        <f>SUM(($M$56-F57)^2*Q49,($N$56-F57)^2*R49,($O$56-F57)^2*S49,($P$56-F57)^2*T49,($Q$56-F57)^2*U49,($R$56-F57)^2*V49,($S$56-F57)^2*W49)</f>
        <v>0.1875</v>
      </c>
      <c r="G66" s="103">
        <f>SUM(($M$56-G57)^2*X49,($N$56-G57)^2*Y49,($O$56-G57)^2*Z49,($P$56-G57)^2*AA49,($Q$56-G57)^2*AB49,($R$56-G57)^2*AC49,($S$56-G57)^2*AD49)</f>
        <v>0.1875</v>
      </c>
    </row>
    <row r="67" spans="2:30" x14ac:dyDescent="0.25">
      <c r="C67" s="50" t="s">
        <v>2</v>
      </c>
      <c r="D67" s="56">
        <f>SUM(($M$56-D58)^2*C50,($N$56-D58)^2*D50,($O$56-D58)^2*E50,($P$56-D58)^2*F50,($Q$56-D58)^2*G50,($R$56-D58)^2*H50,($S$56-D58)^2*I50)</f>
        <v>0.1875</v>
      </c>
      <c r="E67" s="99">
        <f>SUM(($M$56-E58)^2*J50,($N$56-E58)^2*K50,($O$56-E58)^2*L50,($P$56-E58)^2*M50,($Q$56-E58)^2*N50,($R$56-E58)^2*O50,($S$56-E58)^2*P50)</f>
        <v>0.1875</v>
      </c>
      <c r="F67" s="99">
        <f>SUM(($M$56-F58)^2*Q50,($N$56-F58)^2*R50,($O$56-F58)^2*S50,($P$56-F58)^2*T50,($Q$56-F58)^2*U50,($R$56-F58)^2*V50,($S$56-F58)^2*W50)</f>
        <v>0.1875</v>
      </c>
      <c r="G67" s="104">
        <f>SUM(($M$56-G58)^2*X50,($N$56-G58)^2*Y50,($O$56-G58)^2*Z50,($P$56-G58)^2*AA50,($Q$56-G58)^2*AB50,($R$56-G58)^2*AC50,($S$56-G58)^2*AD50)</f>
        <v>0.1875</v>
      </c>
    </row>
    <row r="68" spans="2:30" x14ac:dyDescent="0.25">
      <c r="C68" s="50" t="s">
        <v>3</v>
      </c>
      <c r="D68" s="56">
        <f>SUM(($M$56-D59)^2*C51,($N$56-D59)^2*D51,($O$56-D59)^2*E51,($P$56-D59)^2*F51,($Q$56-D59)^2*G51,($R$56-D59)^2*H51,($S$56-D59)^2*I51)</f>
        <v>0.1875</v>
      </c>
      <c r="E68" s="99">
        <f>SUM(($M$56-E59)^2*J51,($N$56-E59)^2*K51,($O$56-E59)^2*L51,($P$56-E59)^2*M51,($Q$56-E59)^2*N51,($R$56-E59)^2*O51,($S$56-E59)^2*P51)</f>
        <v>0.1875</v>
      </c>
      <c r="F68" s="99">
        <f>SUM(($M$56-F59)^2*Q51,($N$56-F59)^2*R51,($O$56-F59)^2*S51,($P$56-F59)^2*T51,($Q$56-F59)^2*U51,($R$56-F59)^2*V51,($S$56-F59)^2*W51)</f>
        <v>0.1875</v>
      </c>
      <c r="G68" s="104">
        <f>SUM(($M$56-G59)^2*X51,($N$56-G59)^2*Y51,($O$56-G59)^2*Z51,($P$56-G59)^2*AA51,($Q$56-G59)^2*AB51,($R$56-G59)^2*AC51,($S$56-G59)^2*AD51)</f>
        <v>0.1875</v>
      </c>
    </row>
    <row r="69" spans="2:30" x14ac:dyDescent="0.25">
      <c r="C69" s="50" t="s">
        <v>4</v>
      </c>
      <c r="D69" s="56">
        <f>SUM(($M$56-D60)^2*C52,($N$56-D60)^2*D52,($O$56-D60)^2*E52,($P$56-D60)^2*F52,($Q$56-D60)^2*G52,($R$56-D60)^2*H52,($S$56-D60)^2*I52)</f>
        <v>0.6875</v>
      </c>
      <c r="E69" s="99">
        <f>SUM(($M$56-E60)^2*J52,($N$56-E60)^2*K52,($O$56-E60)^2*L52,($P$56-E60)^2*M52,($Q$56-E60)^2*N52,($R$56-E60)^2*O52,($S$56-E60)^2*P52)</f>
        <v>0.25</v>
      </c>
      <c r="F69" s="99">
        <f>SUM(($M$56-F60)^2*Q52,($N$56-F60)^2*R52,($O$56-F60)^2*S52,($P$56-F60)^2*T52,($Q$56-F60)^2*U52,($R$56-F60)^2*V52,($S$56-F60)^2*W52)</f>
        <v>0.1875</v>
      </c>
      <c r="G69" s="104">
        <f>SUM(($M$56-G60)^2*X52,($N$56-G60)^2*Y52,($O$56-G60)^2*Z52,($P$56-G60)^2*AA52,($Q$56-G60)^2*AB52,($R$56-G60)^2*AC52,($S$56-G60)^2*AD52)</f>
        <v>1</v>
      </c>
    </row>
    <row r="70" spans="2:30" ht="15.75" thickBot="1" x14ac:dyDescent="0.3">
      <c r="C70" s="116" t="s">
        <v>98</v>
      </c>
      <c r="D70" s="121">
        <f>SUM(($M$56-D61)^2*C53,($N$56-D61)^2*D53,($O$56-D61)^2*E53,($P$56-D61)^2*F53,($Q$56-D61)^2*G53,($R$56-D61)^2*H53,($S$56-D61)^2*I53)</f>
        <v>0.1875</v>
      </c>
      <c r="E70" s="122">
        <f>SUM(($M$56-E61)^2*J53,($N$56-E61)^2*K53,($O$56-E61)^2*L53,($P$56-E61)^2*M53,($Q$56-E61)^2*N53,($R$56-E61)^2*O53,($S$56-E61)^2*P53)</f>
        <v>0.1875</v>
      </c>
      <c r="F70" s="122">
        <f>SUM(($M$56-F61)^2*Q53,($N$56-F61)^2*R53,($O$56-F61)^2*S53,($P$56-F61)^2*T53,($Q$56-F61)^2*U53,($R$56-F61)^2*V53,($S$56-F61)^2*W53)</f>
        <v>0.1875</v>
      </c>
      <c r="G70" s="123">
        <f>SUM(($M$56-G61)^2*X53,($N$56-G61)^2*Y53,($O$56-G61)^2*Z53,($P$56-G61)^2*AA53,($Q$56-G61)^2*AB53,($R$56-G61)^2*AC53,($S$56-G61)^2*AD53)</f>
        <v>0.1875</v>
      </c>
    </row>
    <row r="71" spans="2:30" ht="15.75" thickBot="1" x14ac:dyDescent="0.3"/>
    <row r="72" spans="2:30" ht="15.75" thickBot="1" x14ac:dyDescent="0.3">
      <c r="B72" s="66" t="s">
        <v>85</v>
      </c>
      <c r="C72" s="134" t="s">
        <v>5</v>
      </c>
      <c r="D72" s="134"/>
      <c r="E72" s="134"/>
      <c r="F72" s="134"/>
      <c r="G72" s="134"/>
      <c r="H72" s="134"/>
      <c r="I72" s="134"/>
      <c r="J72" s="134" t="s">
        <v>6</v>
      </c>
      <c r="K72" s="134"/>
      <c r="L72" s="134"/>
      <c r="M72" s="134"/>
      <c r="N72" s="134"/>
      <c r="O72" s="134"/>
      <c r="P72" s="134"/>
      <c r="Q72" s="134" t="s">
        <v>7</v>
      </c>
      <c r="R72" s="134"/>
      <c r="S72" s="134"/>
      <c r="T72" s="134"/>
      <c r="U72" s="134"/>
      <c r="V72" s="134"/>
      <c r="W72" s="134"/>
      <c r="X72" s="136" t="s">
        <v>8</v>
      </c>
      <c r="Y72" s="137"/>
      <c r="Z72" s="137"/>
      <c r="AA72" s="137"/>
      <c r="AB72" s="137"/>
      <c r="AC72" s="137"/>
      <c r="AD72" s="138"/>
    </row>
    <row r="73" spans="2:30" x14ac:dyDescent="0.25">
      <c r="B73" s="67" t="s">
        <v>86</v>
      </c>
      <c r="C73" s="71">
        <f>C51</f>
        <v>0</v>
      </c>
      <c r="D73" s="84">
        <f t="shared" ref="D73:I73" si="23">D51</f>
        <v>0</v>
      </c>
      <c r="E73" s="84">
        <f t="shared" si="23"/>
        <v>0</v>
      </c>
      <c r="F73" s="84">
        <f t="shared" si="23"/>
        <v>0</v>
      </c>
      <c r="G73" s="84">
        <f t="shared" si="23"/>
        <v>0</v>
      </c>
      <c r="H73" s="84">
        <f t="shared" si="23"/>
        <v>0.25</v>
      </c>
      <c r="I73" s="84">
        <f t="shared" si="23"/>
        <v>0.75</v>
      </c>
      <c r="J73" s="84">
        <f>J51</f>
        <v>0</v>
      </c>
      <c r="K73" s="84">
        <f t="shared" ref="K73:P73" si="24">K51</f>
        <v>0</v>
      </c>
      <c r="L73" s="84">
        <f t="shared" si="24"/>
        <v>0.75</v>
      </c>
      <c r="M73" s="84">
        <f t="shared" si="24"/>
        <v>0.25</v>
      </c>
      <c r="N73" s="84">
        <f t="shared" si="24"/>
        <v>0</v>
      </c>
      <c r="O73" s="84">
        <f t="shared" si="24"/>
        <v>0</v>
      </c>
      <c r="P73" s="84">
        <f t="shared" si="24"/>
        <v>0</v>
      </c>
      <c r="Q73" s="84">
        <f t="shared" ref="Q73:W74" si="25">Q49</f>
        <v>0</v>
      </c>
      <c r="R73" s="84">
        <f t="shared" si="25"/>
        <v>0</v>
      </c>
      <c r="S73" s="84">
        <f t="shared" si="25"/>
        <v>0.75</v>
      </c>
      <c r="T73" s="84">
        <f t="shared" si="25"/>
        <v>0.25</v>
      </c>
      <c r="U73" s="84">
        <f t="shared" si="25"/>
        <v>0</v>
      </c>
      <c r="V73" s="84">
        <f t="shared" si="25"/>
        <v>0</v>
      </c>
      <c r="W73" s="84">
        <f t="shared" si="25"/>
        <v>0</v>
      </c>
      <c r="X73" s="84">
        <f>X50</f>
        <v>0</v>
      </c>
      <c r="Y73" s="84">
        <f t="shared" ref="Y73:AD73" si="26">Y50</f>
        <v>0</v>
      </c>
      <c r="Z73" s="84">
        <f t="shared" si="26"/>
        <v>0</v>
      </c>
      <c r="AA73" s="84">
        <f t="shared" si="26"/>
        <v>0</v>
      </c>
      <c r="AB73" s="84">
        <f t="shared" si="26"/>
        <v>0</v>
      </c>
      <c r="AC73" s="84">
        <f t="shared" si="26"/>
        <v>0.25</v>
      </c>
      <c r="AD73" s="85">
        <f t="shared" si="26"/>
        <v>0.75</v>
      </c>
    </row>
    <row r="74" spans="2:30" ht="15.75" thickBot="1" x14ac:dyDescent="0.3">
      <c r="B74" s="68" t="s">
        <v>87</v>
      </c>
      <c r="C74" s="72">
        <f>C49</f>
        <v>0</v>
      </c>
      <c r="D74" s="86">
        <f t="shared" ref="D74:I74" si="27">D49</f>
        <v>0</v>
      </c>
      <c r="E74" s="86">
        <f t="shared" si="27"/>
        <v>0</v>
      </c>
      <c r="F74" s="86">
        <f t="shared" si="27"/>
        <v>0.25</v>
      </c>
      <c r="G74" s="86">
        <f t="shared" si="27"/>
        <v>0.75</v>
      </c>
      <c r="H74" s="86">
        <f t="shared" si="27"/>
        <v>0</v>
      </c>
      <c r="I74" s="86">
        <f t="shared" si="27"/>
        <v>0</v>
      </c>
      <c r="J74" s="86">
        <f>J49</f>
        <v>0.75</v>
      </c>
      <c r="K74" s="86">
        <f t="shared" ref="K74:P74" si="28">K49</f>
        <v>0.25</v>
      </c>
      <c r="L74" s="86">
        <f t="shared" si="28"/>
        <v>0</v>
      </c>
      <c r="M74" s="86">
        <f t="shared" si="28"/>
        <v>0</v>
      </c>
      <c r="N74" s="86">
        <f t="shared" si="28"/>
        <v>0</v>
      </c>
      <c r="O74" s="86">
        <f t="shared" si="28"/>
        <v>0</v>
      </c>
      <c r="P74" s="86">
        <f t="shared" si="28"/>
        <v>0</v>
      </c>
      <c r="Q74" s="86">
        <f t="shared" si="25"/>
        <v>0.75</v>
      </c>
      <c r="R74" s="86">
        <f t="shared" si="25"/>
        <v>0.25</v>
      </c>
      <c r="S74" s="86">
        <f t="shared" si="25"/>
        <v>0</v>
      </c>
      <c r="T74" s="86">
        <f t="shared" si="25"/>
        <v>0</v>
      </c>
      <c r="U74" s="86">
        <f t="shared" si="25"/>
        <v>0</v>
      </c>
      <c r="V74" s="86">
        <f t="shared" si="25"/>
        <v>0</v>
      </c>
      <c r="W74" s="86">
        <f t="shared" si="25"/>
        <v>0</v>
      </c>
      <c r="X74" s="86">
        <f>X49</f>
        <v>0</v>
      </c>
      <c r="Y74" s="86">
        <f t="shared" ref="Y74:AD74" si="29">Y49</f>
        <v>0</v>
      </c>
      <c r="Z74" s="86">
        <f t="shared" si="29"/>
        <v>0.25</v>
      </c>
      <c r="AA74" s="86">
        <f t="shared" si="29"/>
        <v>0.75</v>
      </c>
      <c r="AB74" s="86">
        <f t="shared" si="29"/>
        <v>0</v>
      </c>
      <c r="AC74" s="86">
        <f t="shared" si="29"/>
        <v>0</v>
      </c>
      <c r="AD74" s="87">
        <f t="shared" si="29"/>
        <v>0</v>
      </c>
    </row>
    <row r="75" spans="2:30" ht="15.75" thickBot="1" x14ac:dyDescent="0.3"/>
    <row r="76" spans="2:30" ht="15.75" thickBot="1" x14ac:dyDescent="0.3">
      <c r="B76" s="73" t="s">
        <v>88</v>
      </c>
      <c r="C76" s="78" t="s">
        <v>5</v>
      </c>
      <c r="D76" s="78" t="s">
        <v>6</v>
      </c>
      <c r="E76" s="78" t="s">
        <v>7</v>
      </c>
      <c r="F76" s="80" t="s">
        <v>8</v>
      </c>
      <c r="G76" s="82"/>
      <c r="I76" s="73" t="s">
        <v>90</v>
      </c>
      <c r="J76" s="78" t="s">
        <v>5</v>
      </c>
      <c r="K76" s="78" t="s">
        <v>6</v>
      </c>
      <c r="L76" s="78" t="s">
        <v>7</v>
      </c>
      <c r="M76" s="78" t="s">
        <v>8</v>
      </c>
      <c r="N76" s="79" t="s">
        <v>89</v>
      </c>
    </row>
    <row r="77" spans="2:30" x14ac:dyDescent="0.25">
      <c r="B77" s="74" t="s">
        <v>1</v>
      </c>
      <c r="C77" s="28">
        <f>(1/7)*ABS(SUMPRODUCT($M$56:$S$56,$C$73:$I$73)-SUMPRODUCT($M$56:$S$56,C49:I49))</f>
        <v>0.2857142857142857</v>
      </c>
      <c r="D77" s="45">
        <f>(1/7)*ABS(SUMPRODUCT($M$56:$S$56,$J$73:$P$73)-SUMPRODUCT($M$56:$S$56,J49:P49))</f>
        <v>0.2857142857142857</v>
      </c>
      <c r="E77" s="45">
        <f>(1/7)*ABS(SUMPRODUCT($M$56:$S$56,$Q$73:$W$73)-SUMPRODUCT($M$56:$S$56,Q49:W49))</f>
        <v>0</v>
      </c>
      <c r="F77" s="46">
        <f>(1/7)*ABS(SUMPRODUCT($M$56:$S$56,$X$73:$AD$73)-SUMPRODUCT($M$56:$S$56,X49:AD49))</f>
        <v>0.42857142857142855</v>
      </c>
      <c r="G77" s="15"/>
      <c r="I77" s="74" t="s">
        <v>1</v>
      </c>
      <c r="J77" s="28">
        <f>C77^2</f>
        <v>8.1632653061224483E-2</v>
      </c>
      <c r="K77" s="45">
        <f t="shared" ref="K77:M81" si="30">D77^2</f>
        <v>8.1632653061224483E-2</v>
      </c>
      <c r="L77" s="45">
        <f t="shared" si="30"/>
        <v>0</v>
      </c>
      <c r="M77" s="45">
        <f t="shared" si="30"/>
        <v>0.18367346938775508</v>
      </c>
      <c r="N77" s="46">
        <f>(SUMPRODUCT($J$64:$M$64,J77:M77))^(1/2)</f>
        <v>0.29450754468697571</v>
      </c>
    </row>
    <row r="78" spans="2:30" x14ac:dyDescent="0.25">
      <c r="B78" s="74" t="s">
        <v>2</v>
      </c>
      <c r="C78" s="1">
        <f>(1/7)*ABS(SUMPRODUCT($M$56:$S$56,$C$73:$I$73)-SUMPRODUCT($M$56:$S$56,C50:I50))</f>
        <v>0.14285714285714285</v>
      </c>
      <c r="D78" s="17">
        <f>(1/7)*ABS(SUMPRODUCT($M$56:$S$56,$J$73:$P$73)-SUMPRODUCT($M$56:$S$56,J50:P50))</f>
        <v>0.14285714285714285</v>
      </c>
      <c r="E78" s="17">
        <f>(1/7)*ABS(SUMPRODUCT($M$56:$S$56,$Q$73:$W$73)-SUMPRODUCT($M$56:$S$56,Q50:W50))</f>
        <v>0.2857142857142857</v>
      </c>
      <c r="F78" s="47">
        <f>(1/7)*ABS(SUMPRODUCT($M$56:$S$56,$X$73:$AD$73)-SUMPRODUCT($M$56:$S$56,X50:AD50))</f>
        <v>0</v>
      </c>
      <c r="G78" s="15"/>
      <c r="I78" s="74" t="s">
        <v>2</v>
      </c>
      <c r="J78" s="1">
        <f t="shared" ref="J78:J81" si="31">C78^2</f>
        <v>2.0408163265306121E-2</v>
      </c>
      <c r="K78" s="17">
        <f t="shared" si="30"/>
        <v>2.0408163265306121E-2</v>
      </c>
      <c r="L78" s="17">
        <f t="shared" si="30"/>
        <v>8.1632653061224483E-2</v>
      </c>
      <c r="M78" s="17">
        <f t="shared" si="30"/>
        <v>0</v>
      </c>
      <c r="N78" s="47">
        <f t="shared" ref="N78:N81" si="32">(SUMPRODUCT($J$64:$M$64,J78:M78))^(1/2)</f>
        <v>0.1749635530559413</v>
      </c>
    </row>
    <row r="79" spans="2:30" x14ac:dyDescent="0.25">
      <c r="B79" s="74" t="s">
        <v>3</v>
      </c>
      <c r="C79" s="1">
        <f>(1/7)*ABS(SUMPRODUCT($M$56:$S$56,$C$73:$I$73)-SUMPRODUCT($M$56:$S$56,C51:I51))</f>
        <v>0</v>
      </c>
      <c r="D79" s="17">
        <f>(1/7)*ABS(SUMPRODUCT($M$56:$S$56,$J$73:$P$73)-SUMPRODUCT($M$56:$S$56,J51:P51))</f>
        <v>0</v>
      </c>
      <c r="E79" s="17">
        <f>(1/7)*ABS(SUMPRODUCT($M$56:$S$56,$Q$73:$W$73)-SUMPRODUCT($M$56:$S$56,Q51:W51))</f>
        <v>0.21428571428571427</v>
      </c>
      <c r="F79" s="47">
        <f>(1/7)*ABS(SUMPRODUCT($M$56:$S$56,$X$73:$AD$73)-SUMPRODUCT($M$56:$S$56,X51:AD51))</f>
        <v>0.21428571428571427</v>
      </c>
      <c r="G79" s="15"/>
      <c r="I79" s="74" t="s">
        <v>3</v>
      </c>
      <c r="J79" s="1">
        <f t="shared" si="31"/>
        <v>0</v>
      </c>
      <c r="K79" s="17">
        <f t="shared" si="30"/>
        <v>0</v>
      </c>
      <c r="L79" s="17">
        <f t="shared" si="30"/>
        <v>4.5918367346938771E-2</v>
      </c>
      <c r="M79" s="17">
        <f t="shared" si="30"/>
        <v>4.5918367346938771E-2</v>
      </c>
      <c r="N79" s="47">
        <f t="shared" si="32"/>
        <v>0.15152288168283159</v>
      </c>
    </row>
    <row r="80" spans="2:30" x14ac:dyDescent="0.25">
      <c r="B80" s="88" t="s">
        <v>4</v>
      </c>
      <c r="C80" s="89">
        <f>(1/7)*ABS(SUMPRODUCT($M$56:$S$56,$C$73:$I$73)-SUMPRODUCT($M$56:$S$56,C52:I52))</f>
        <v>0.14285714285714285</v>
      </c>
      <c r="D80" s="90">
        <f>(1/7)*ABS(SUMPRODUCT($M$56:$S$56,$J$73:$P$73)-SUMPRODUCT($M$56:$S$56,J52:P52))</f>
        <v>0.10714285714285714</v>
      </c>
      <c r="E80" s="90">
        <f>(1/7)*ABS(SUMPRODUCT($M$56:$S$56,$Q$73:$W$73)-SUMPRODUCT($M$56:$S$56,Q52:W52))</f>
        <v>0</v>
      </c>
      <c r="F80" s="91">
        <f>(1/7)*ABS(SUMPRODUCT($M$56:$S$56,$X$73:$AD$73)-SUMPRODUCT($M$56:$S$56,X52:AD52))</f>
        <v>0.25</v>
      </c>
      <c r="G80" s="15"/>
      <c r="I80" s="88" t="s">
        <v>4</v>
      </c>
      <c r="J80" s="89">
        <f t="shared" si="31"/>
        <v>2.0408163265306121E-2</v>
      </c>
      <c r="K80" s="90">
        <f t="shared" si="30"/>
        <v>1.1479591836734693E-2</v>
      </c>
      <c r="L80" s="90">
        <f t="shared" si="30"/>
        <v>0</v>
      </c>
      <c r="M80" s="90">
        <f t="shared" si="30"/>
        <v>6.25E-2</v>
      </c>
      <c r="N80" s="91">
        <f t="shared" si="32"/>
        <v>0.15361295119718976</v>
      </c>
    </row>
    <row r="81" spans="2:14" ht="15.75" thickBot="1" x14ac:dyDescent="0.3">
      <c r="B81" s="92" t="s">
        <v>98</v>
      </c>
      <c r="C81" s="117">
        <f>(1/7)*ABS(SUMPRODUCT($M$56:$S$56,$C$73:$I$73)-SUMPRODUCT($M$56:$S$56,C53:I53))</f>
        <v>0</v>
      </c>
      <c r="D81" s="118">
        <f>(1/7)*ABS(SUMPRODUCT($M$56:$S$56,$J$73:$P$73)-SUMPRODUCT($M$56:$S$56,J53:P53))</f>
        <v>0</v>
      </c>
      <c r="E81" s="118">
        <f>(1/7)*ABS(SUMPRODUCT($M$56:$S$56,$Q$73:$W$73)-SUMPRODUCT($M$56:$S$56,Q53:W53))</f>
        <v>0.21428571428571427</v>
      </c>
      <c r="F81" s="119">
        <f>(1/7)*ABS(SUMPRODUCT($M$56:$S$56,$X$73:$AD$73)-SUMPRODUCT($M$56:$S$56,X53:AD53))</f>
        <v>0.21428571428571427</v>
      </c>
      <c r="G81" s="15"/>
      <c r="I81" s="92" t="s">
        <v>98</v>
      </c>
      <c r="J81" s="117">
        <f t="shared" si="31"/>
        <v>0</v>
      </c>
      <c r="K81" s="118">
        <f t="shared" si="30"/>
        <v>0</v>
      </c>
      <c r="L81" s="118">
        <f t="shared" si="30"/>
        <v>4.5918367346938771E-2</v>
      </c>
      <c r="M81" s="118">
        <f t="shared" si="30"/>
        <v>4.5918367346938771E-2</v>
      </c>
      <c r="N81" s="119">
        <f t="shared" si="32"/>
        <v>0.15152288168283159</v>
      </c>
    </row>
    <row r="82" spans="2:14" ht="15.75" thickBot="1" x14ac:dyDescent="0.3"/>
    <row r="83" spans="2:14" ht="15.75" thickBot="1" x14ac:dyDescent="0.3">
      <c r="B83" s="73" t="s">
        <v>91</v>
      </c>
      <c r="C83" s="78" t="s">
        <v>5</v>
      </c>
      <c r="D83" s="78" t="s">
        <v>6</v>
      </c>
      <c r="E83" s="78" t="s">
        <v>7</v>
      </c>
      <c r="F83" s="80" t="s">
        <v>8</v>
      </c>
      <c r="G83" s="82"/>
      <c r="I83" s="73" t="s">
        <v>92</v>
      </c>
      <c r="J83" s="78" t="s">
        <v>5</v>
      </c>
      <c r="K83" s="78" t="s">
        <v>6</v>
      </c>
      <c r="L83" s="78" t="s">
        <v>7</v>
      </c>
      <c r="M83" s="78" t="s">
        <v>8</v>
      </c>
      <c r="N83" s="79" t="s">
        <v>89</v>
      </c>
    </row>
    <row r="84" spans="2:14" x14ac:dyDescent="0.25">
      <c r="B84" s="74" t="s">
        <v>1</v>
      </c>
      <c r="C84" s="28">
        <f>(1/7)*ABS(SUMPRODUCT($M$56:$S$56,$C$74:$I$74)-SUMPRODUCT($M$56:$S$56,C49:I49))</f>
        <v>0</v>
      </c>
      <c r="D84" s="45">
        <f>(1/7)*ABS(SUMPRODUCT($M$56:$S$56,$J$74:$P$74)-SUMPRODUCT($M$56:$S$56,J49:P49))</f>
        <v>0</v>
      </c>
      <c r="E84" s="45">
        <f>(1/7)*ABS(SUMPRODUCT($M$56:$S$56,$Q$74:$W$74)-SUMPRODUCT($M$56:$S$56,Q49:W49))</f>
        <v>0.2857142857142857</v>
      </c>
      <c r="F84" s="46">
        <f>(1/7)*ABS(SUMPRODUCT($M$56:$S$56,$X$74:$AD$74)-SUMPRODUCT($M$56:$S$56,X49:AD49))</f>
        <v>0</v>
      </c>
      <c r="G84" s="15"/>
      <c r="I84" s="74" t="s">
        <v>1</v>
      </c>
      <c r="J84" s="28">
        <f>C84^2</f>
        <v>0</v>
      </c>
      <c r="K84" s="45">
        <f t="shared" ref="K84:M88" si="33">D84^2</f>
        <v>0</v>
      </c>
      <c r="L84" s="45">
        <f t="shared" si="33"/>
        <v>8.1632653061224483E-2</v>
      </c>
      <c r="M84" s="45">
        <f t="shared" si="33"/>
        <v>0</v>
      </c>
      <c r="N84" s="46">
        <f>(SUMPRODUCT($J$64:$M$64,J84:M84))^(1/2)</f>
        <v>0.14285714285714285</v>
      </c>
    </row>
    <row r="85" spans="2:14" x14ac:dyDescent="0.25">
      <c r="B85" s="74" t="s">
        <v>2</v>
      </c>
      <c r="C85" s="1">
        <f>(1/7)*ABS(SUMPRODUCT($M$56:$S$56,$C$74:$I$74)-SUMPRODUCT($M$56:$S$56,C50:I50))</f>
        <v>0.14285714285714285</v>
      </c>
      <c r="D85" s="17">
        <f>(1/7)*ABS(SUMPRODUCT($M$56:$S$56,$J$74:$P$74)-SUMPRODUCT($M$56:$S$56,J50:P50))</f>
        <v>0.14285714285714285</v>
      </c>
      <c r="E85" s="17">
        <f>(1/7)*ABS(SUMPRODUCT($M$56:$S$56,$Q$74:$W$74)-SUMPRODUCT($M$56:$S$56,Q50:W50))</f>
        <v>0</v>
      </c>
      <c r="F85" s="47">
        <f>(1/7)*ABS(SUMPRODUCT($M$56:$S$56,$X$74:$AD$74)-SUMPRODUCT($M$56:$S$56,X50:AD50))</f>
        <v>0.42857142857142855</v>
      </c>
      <c r="G85" s="15"/>
      <c r="I85" s="74" t="s">
        <v>2</v>
      </c>
      <c r="J85" s="1">
        <f t="shared" ref="J85:J88" si="34">C85^2</f>
        <v>2.0408163265306121E-2</v>
      </c>
      <c r="K85" s="17">
        <f t="shared" si="33"/>
        <v>2.0408163265306121E-2</v>
      </c>
      <c r="L85" s="17">
        <f t="shared" si="33"/>
        <v>0</v>
      </c>
      <c r="M85" s="17">
        <f t="shared" si="33"/>
        <v>0.18367346938775508</v>
      </c>
      <c r="N85" s="47">
        <f t="shared" ref="N85:N88" si="35">(SUMPRODUCT($J$64:$M$64,J85:M85))^(1/2)</f>
        <v>0.23690177073967139</v>
      </c>
    </row>
    <row r="86" spans="2:14" x14ac:dyDescent="0.25">
      <c r="B86" s="74" t="s">
        <v>3</v>
      </c>
      <c r="C86" s="1">
        <f>(1/7)*ABS(SUMPRODUCT($M$56:$S$56,$C$74:$I$74)-SUMPRODUCT($M$56:$S$56,C51:I51))</f>
        <v>0.2857142857142857</v>
      </c>
      <c r="D86" s="17">
        <f>(1/7)*ABS(SUMPRODUCT($M$56:$S$56,$J$74:$P$74)-SUMPRODUCT($M$56:$S$56,J51:P51))</f>
        <v>0.2857142857142857</v>
      </c>
      <c r="E86" s="17">
        <f>(1/7)*ABS(SUMPRODUCT($M$56:$S$56,$Q$74:$W$74)-SUMPRODUCT($M$56:$S$56,Q51:W51))</f>
        <v>7.1428571428571425E-2</v>
      </c>
      <c r="F86" s="47">
        <f>(1/7)*ABS(SUMPRODUCT($M$56:$S$56,$X$74:$AD$74)-SUMPRODUCT($M$56:$S$56,X51:AD51))</f>
        <v>0.21428571428571427</v>
      </c>
      <c r="G86" s="15"/>
      <c r="I86" s="74" t="s">
        <v>3</v>
      </c>
      <c r="J86" s="1">
        <f t="shared" si="34"/>
        <v>8.1632653061224483E-2</v>
      </c>
      <c r="K86" s="17">
        <f t="shared" si="33"/>
        <v>8.1632653061224483E-2</v>
      </c>
      <c r="L86" s="17">
        <f t="shared" si="33"/>
        <v>5.1020408163265302E-3</v>
      </c>
      <c r="M86" s="17">
        <f t="shared" si="33"/>
        <v>4.5918367346938771E-2</v>
      </c>
      <c r="N86" s="47">
        <f t="shared" si="35"/>
        <v>0.23145502494313785</v>
      </c>
    </row>
    <row r="87" spans="2:14" x14ac:dyDescent="0.25">
      <c r="B87" s="88" t="s">
        <v>4</v>
      </c>
      <c r="C87" s="1">
        <f>(1/7)*ABS(SUMPRODUCT($M$56:$S$56,$C$74:$I$74)-SUMPRODUCT($M$56:$S$56,C52:I52))</f>
        <v>0.14285714285714285</v>
      </c>
      <c r="D87" s="17">
        <f>(1/7)*ABS(SUMPRODUCT($M$56:$S$56,$J$74:$P$74)-SUMPRODUCT($M$56:$S$56,J52:P52))</f>
        <v>0.17857142857142855</v>
      </c>
      <c r="E87" s="17">
        <f>(1/7)*ABS(SUMPRODUCT($M$56:$S$56,$Q$74:$W$74)-SUMPRODUCT($M$56:$S$56,Q52:W52))</f>
        <v>0.2857142857142857</v>
      </c>
      <c r="F87" s="47">
        <f>(1/7)*ABS(SUMPRODUCT($M$56:$S$56,$X$74:$AD$74)-SUMPRODUCT($M$56:$S$56,X52:AD52))</f>
        <v>0.17857142857142855</v>
      </c>
      <c r="G87" s="15"/>
      <c r="I87" s="88" t="s">
        <v>4</v>
      </c>
      <c r="J87" s="89">
        <f t="shared" si="34"/>
        <v>2.0408163265306121E-2</v>
      </c>
      <c r="K87" s="90">
        <f t="shared" si="33"/>
        <v>3.188775510204081E-2</v>
      </c>
      <c r="L87" s="90">
        <f t="shared" si="33"/>
        <v>8.1632653061224483E-2</v>
      </c>
      <c r="M87" s="90">
        <f t="shared" si="33"/>
        <v>3.188775510204081E-2</v>
      </c>
      <c r="N87" s="91">
        <f t="shared" si="35"/>
        <v>0.20360275448198889</v>
      </c>
    </row>
    <row r="88" spans="2:14" ht="15.75" thickBot="1" x14ac:dyDescent="0.3">
      <c r="B88" s="120" t="s">
        <v>98</v>
      </c>
      <c r="C88" s="117">
        <f>(1/7)*ABS(SUMPRODUCT($M$56:$S$56,$C$74:$I$74)-SUMPRODUCT($M$56:$S$56,C53:I53))</f>
        <v>0.2857142857142857</v>
      </c>
      <c r="D88" s="118">
        <f>(1/7)*ABS(SUMPRODUCT($M$56:$S$56,$J$74:$P$74)-SUMPRODUCT($M$56:$S$56,J53:P53))</f>
        <v>0.2857142857142857</v>
      </c>
      <c r="E88" s="118">
        <f>(1/7)*ABS(SUMPRODUCT($M$56:$S$56,$Q$74:$W$74)-SUMPRODUCT($M$56:$S$56,Q53:W53))</f>
        <v>7.1428571428571425E-2</v>
      </c>
      <c r="F88" s="119">
        <f>(1/7)*ABS(SUMPRODUCT($M$56:$S$56,$X$74:$AD$74)-SUMPRODUCT($M$56:$S$56,X53:AD53))</f>
        <v>0.21428571428571427</v>
      </c>
      <c r="G88" s="15"/>
      <c r="I88" s="92" t="s">
        <v>98</v>
      </c>
      <c r="J88" s="117">
        <f t="shared" si="34"/>
        <v>8.1632653061224483E-2</v>
      </c>
      <c r="K88" s="118">
        <f t="shared" si="33"/>
        <v>8.1632653061224483E-2</v>
      </c>
      <c r="L88" s="118">
        <f t="shared" si="33"/>
        <v>5.1020408163265302E-3</v>
      </c>
      <c r="M88" s="118">
        <f t="shared" si="33"/>
        <v>4.5918367346938771E-2</v>
      </c>
      <c r="N88" s="119">
        <f t="shared" si="35"/>
        <v>0.23145502494313785</v>
      </c>
    </row>
    <row r="90" spans="2:14" ht="15.75" thickBot="1" x14ac:dyDescent="0.3"/>
    <row r="91" spans="2:14" ht="15.75" thickBot="1" x14ac:dyDescent="0.3">
      <c r="B91" s="73" t="s">
        <v>93</v>
      </c>
      <c r="C91" s="76" t="s">
        <v>94</v>
      </c>
      <c r="D91" s="77" t="s">
        <v>95</v>
      </c>
    </row>
    <row r="92" spans="2:14" x14ac:dyDescent="0.25">
      <c r="B92" s="74" t="s">
        <v>1</v>
      </c>
      <c r="C92" s="28">
        <f>(N84)/(N77+N84)</f>
        <v>0.32663163471040935</v>
      </c>
      <c r="D92" s="46">
        <f>RANK(C92,$C$92:$C$96)</f>
        <v>5</v>
      </c>
    </row>
    <row r="93" spans="2:14" x14ac:dyDescent="0.25">
      <c r="B93" s="74" t="s">
        <v>2</v>
      </c>
      <c r="C93" s="1">
        <f>(N85)/(N78+N85)</f>
        <v>0.57519231907280788</v>
      </c>
      <c r="D93" s="47">
        <f t="shared" ref="D93:D96" si="36">RANK(C93,$C$92:$C$96)</f>
        <v>3</v>
      </c>
    </row>
    <row r="94" spans="2:14" x14ac:dyDescent="0.25">
      <c r="B94" s="74" t="s">
        <v>3</v>
      </c>
      <c r="C94" s="1">
        <f>(N86)/(N79+N86)</f>
        <v>0.60435607626104004</v>
      </c>
      <c r="D94" s="47">
        <f t="shared" si="36"/>
        <v>1</v>
      </c>
    </row>
    <row r="95" spans="2:14" x14ac:dyDescent="0.25">
      <c r="B95" s="88" t="s">
        <v>4</v>
      </c>
      <c r="C95" s="1">
        <f>(N87)/(N80+N87)</f>
        <v>0.56997145210868161</v>
      </c>
      <c r="D95" s="47">
        <f t="shared" si="36"/>
        <v>4</v>
      </c>
    </row>
    <row r="96" spans="2:14" ht="15.75" thickBot="1" x14ac:dyDescent="0.3">
      <c r="B96" s="120" t="s">
        <v>98</v>
      </c>
      <c r="C96" s="117">
        <f>(N88)/(N81+N88)</f>
        <v>0.60435607626104004</v>
      </c>
      <c r="D96" s="119">
        <f t="shared" si="36"/>
        <v>1</v>
      </c>
    </row>
  </sheetData>
  <mergeCells count="26">
    <mergeCell ref="C48:I48"/>
    <mergeCell ref="J48:P48"/>
    <mergeCell ref="Q48:W48"/>
    <mergeCell ref="X48:AD48"/>
    <mergeCell ref="C72:I72"/>
    <mergeCell ref="J72:P72"/>
    <mergeCell ref="Q72:W72"/>
    <mergeCell ref="X72:AD72"/>
    <mergeCell ref="C35:I35"/>
    <mergeCell ref="J35:P35"/>
    <mergeCell ref="Q35:W35"/>
    <mergeCell ref="X35:AD35"/>
    <mergeCell ref="C42:I42"/>
    <mergeCell ref="J42:P42"/>
    <mergeCell ref="Q42:W42"/>
    <mergeCell ref="X42:AD42"/>
    <mergeCell ref="B2:B3"/>
    <mergeCell ref="C2:D2"/>
    <mergeCell ref="E2:F2"/>
    <mergeCell ref="G2:H2"/>
    <mergeCell ref="I2:J2"/>
    <mergeCell ref="B9:B10"/>
    <mergeCell ref="C9:D9"/>
    <mergeCell ref="E9:F9"/>
    <mergeCell ref="G9:H9"/>
    <mergeCell ref="I9:J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6"/>
  <sheetViews>
    <sheetView tabSelected="1" topLeftCell="A61" zoomScale="85" zoomScaleNormal="85" workbookViewId="0">
      <selection activeCell="K99" sqref="K99"/>
    </sheetView>
  </sheetViews>
  <sheetFormatPr defaultRowHeight="15" x14ac:dyDescent="0.25"/>
  <cols>
    <col min="2" max="2" width="17" bestFit="1" customWidth="1"/>
    <col min="3" max="3" width="11" customWidth="1"/>
    <col min="14" max="14" width="13.5703125" customWidth="1"/>
  </cols>
  <sheetData>
    <row r="1" spans="2:20" ht="15.75" thickBot="1" x14ac:dyDescent="0.3"/>
    <row r="2" spans="2:20" x14ac:dyDescent="0.25">
      <c r="B2" s="130" t="s">
        <v>0</v>
      </c>
      <c r="C2" s="132" t="s">
        <v>5</v>
      </c>
      <c r="D2" s="132"/>
      <c r="E2" s="132" t="s">
        <v>6</v>
      </c>
      <c r="F2" s="132"/>
      <c r="G2" s="132" t="s">
        <v>7</v>
      </c>
      <c r="H2" s="132"/>
      <c r="I2" s="132" t="s">
        <v>8</v>
      </c>
      <c r="J2" s="133"/>
      <c r="L2" s="20"/>
      <c r="M2" s="9"/>
      <c r="N2" s="9"/>
      <c r="O2" s="9"/>
      <c r="P2" s="9"/>
      <c r="Q2" s="9"/>
      <c r="R2" s="9"/>
      <c r="S2" s="9"/>
      <c r="T2" s="9"/>
    </row>
    <row r="3" spans="2:20" x14ac:dyDescent="0.25">
      <c r="B3" s="131"/>
      <c r="C3" s="6" t="s">
        <v>14</v>
      </c>
      <c r="D3" s="6" t="s">
        <v>15</v>
      </c>
      <c r="E3" s="6" t="s">
        <v>14</v>
      </c>
      <c r="F3" s="6" t="s">
        <v>15</v>
      </c>
      <c r="G3" s="6" t="s">
        <v>14</v>
      </c>
      <c r="H3" s="6" t="s">
        <v>15</v>
      </c>
      <c r="I3" s="6" t="s">
        <v>14</v>
      </c>
      <c r="J3" s="7" t="s">
        <v>15</v>
      </c>
      <c r="L3" s="20"/>
      <c r="M3" s="21"/>
      <c r="N3" s="21"/>
      <c r="O3" s="21"/>
      <c r="P3" s="21"/>
      <c r="Q3" s="21"/>
      <c r="R3" s="21"/>
      <c r="S3" s="21"/>
      <c r="T3" s="21"/>
    </row>
    <row r="4" spans="2:20" x14ac:dyDescent="0.25">
      <c r="B4" s="1" t="s">
        <v>1</v>
      </c>
      <c r="C4" s="3">
        <v>4</v>
      </c>
      <c r="D4" s="3">
        <v>4</v>
      </c>
      <c r="E4" s="3">
        <v>0</v>
      </c>
      <c r="F4" s="3">
        <v>0</v>
      </c>
      <c r="G4" s="3">
        <v>2</v>
      </c>
      <c r="H4" s="3">
        <v>2</v>
      </c>
      <c r="I4" s="3">
        <v>3</v>
      </c>
      <c r="J4" s="4">
        <v>3</v>
      </c>
      <c r="L4" s="11"/>
      <c r="M4" s="11"/>
      <c r="N4" s="11"/>
      <c r="O4" s="11"/>
      <c r="P4" s="11"/>
      <c r="Q4" s="11"/>
      <c r="R4" s="11"/>
      <c r="S4" s="11"/>
      <c r="T4" s="11"/>
    </row>
    <row r="5" spans="2:20" x14ac:dyDescent="0.25">
      <c r="B5" s="1" t="s">
        <v>2</v>
      </c>
      <c r="C5" s="3">
        <v>5</v>
      </c>
      <c r="D5" s="3">
        <v>5</v>
      </c>
      <c r="E5" s="3">
        <v>1</v>
      </c>
      <c r="F5" s="3">
        <v>1</v>
      </c>
      <c r="G5" s="3">
        <v>0</v>
      </c>
      <c r="H5" s="3">
        <v>0</v>
      </c>
      <c r="I5" s="3">
        <v>6</v>
      </c>
      <c r="J5" s="4">
        <v>6</v>
      </c>
      <c r="L5" s="11"/>
      <c r="M5" s="11"/>
      <c r="N5" s="11"/>
      <c r="O5" s="11"/>
      <c r="P5" s="11"/>
      <c r="Q5" s="11"/>
      <c r="R5" s="11"/>
      <c r="S5" s="11"/>
      <c r="T5" s="11"/>
    </row>
    <row r="6" spans="2:20" x14ac:dyDescent="0.25">
      <c r="B6" s="1" t="s">
        <v>3</v>
      </c>
      <c r="C6" s="3">
        <v>6</v>
      </c>
      <c r="D6" s="3">
        <v>6</v>
      </c>
      <c r="E6" s="3">
        <v>2</v>
      </c>
      <c r="F6" s="3">
        <v>2</v>
      </c>
      <c r="G6" s="3">
        <v>1</v>
      </c>
      <c r="H6" s="3">
        <v>1</v>
      </c>
      <c r="I6" s="3">
        <v>4</v>
      </c>
      <c r="J6" s="4">
        <v>4</v>
      </c>
      <c r="L6" s="11"/>
      <c r="M6" s="11"/>
      <c r="N6" s="11"/>
      <c r="O6" s="11"/>
      <c r="P6" s="11"/>
      <c r="Q6" s="11"/>
      <c r="R6" s="11"/>
      <c r="S6" s="11"/>
      <c r="T6" s="11"/>
    </row>
    <row r="7" spans="2:20" x14ac:dyDescent="0.25">
      <c r="B7" s="1" t="s">
        <v>4</v>
      </c>
      <c r="C7" s="3">
        <v>4</v>
      </c>
      <c r="D7" s="3">
        <v>4</v>
      </c>
      <c r="E7" s="3">
        <v>1</v>
      </c>
      <c r="F7" s="3">
        <v>1</v>
      </c>
      <c r="G7" s="3">
        <v>2</v>
      </c>
      <c r="H7" s="3">
        <v>2</v>
      </c>
      <c r="I7" s="3">
        <v>3</v>
      </c>
      <c r="J7" s="4">
        <v>3</v>
      </c>
      <c r="L7" s="11"/>
      <c r="M7" s="11"/>
      <c r="N7" s="11"/>
      <c r="O7" s="11"/>
      <c r="P7" s="11"/>
      <c r="Q7" s="11"/>
      <c r="R7" s="11"/>
      <c r="S7" s="11"/>
      <c r="T7" s="11"/>
    </row>
    <row r="8" spans="2:20" ht="15.75" thickBot="1" x14ac:dyDescent="0.3"/>
    <row r="9" spans="2:20" x14ac:dyDescent="0.25">
      <c r="B9" s="130" t="s">
        <v>9</v>
      </c>
      <c r="C9" s="132" t="s">
        <v>5</v>
      </c>
      <c r="D9" s="132"/>
      <c r="E9" s="132" t="s">
        <v>6</v>
      </c>
      <c r="F9" s="132"/>
      <c r="G9" s="132" t="s">
        <v>7</v>
      </c>
      <c r="H9" s="132"/>
      <c r="I9" s="132" t="s">
        <v>8</v>
      </c>
      <c r="J9" s="133"/>
    </row>
    <row r="10" spans="2:20" x14ac:dyDescent="0.25">
      <c r="B10" s="131"/>
      <c r="C10" s="6" t="s">
        <v>14</v>
      </c>
      <c r="D10" s="6" t="s">
        <v>15</v>
      </c>
      <c r="E10" s="6" t="s">
        <v>14</v>
      </c>
      <c r="F10" s="6" t="s">
        <v>15</v>
      </c>
      <c r="G10" s="6" t="s">
        <v>14</v>
      </c>
      <c r="H10" s="6" t="s">
        <v>15</v>
      </c>
      <c r="I10" s="6" t="s">
        <v>14</v>
      </c>
      <c r="J10" s="7" t="s">
        <v>15</v>
      </c>
    </row>
    <row r="11" spans="2:20" x14ac:dyDescent="0.25">
      <c r="B11" s="1" t="s">
        <v>1</v>
      </c>
      <c r="C11" s="3">
        <v>3</v>
      </c>
      <c r="D11" s="3">
        <v>4</v>
      </c>
      <c r="E11" s="3">
        <v>0</v>
      </c>
      <c r="F11" s="3">
        <v>1</v>
      </c>
      <c r="G11" s="3">
        <v>2</v>
      </c>
      <c r="H11" s="3">
        <v>3</v>
      </c>
      <c r="I11" s="3">
        <v>2</v>
      </c>
      <c r="J11" s="4">
        <v>3</v>
      </c>
    </row>
    <row r="12" spans="2:20" x14ac:dyDescent="0.25">
      <c r="B12" s="1" t="s">
        <v>2</v>
      </c>
      <c r="C12" s="3">
        <v>4</v>
      </c>
      <c r="D12" s="3">
        <v>5</v>
      </c>
      <c r="E12" s="3">
        <v>1</v>
      </c>
      <c r="F12" s="3">
        <v>2</v>
      </c>
      <c r="G12" s="3">
        <v>0</v>
      </c>
      <c r="H12" s="3">
        <v>1</v>
      </c>
      <c r="I12" s="3">
        <v>5</v>
      </c>
      <c r="J12" s="4">
        <v>6</v>
      </c>
    </row>
    <row r="13" spans="2:20" x14ac:dyDescent="0.25">
      <c r="B13" s="1" t="s">
        <v>3</v>
      </c>
      <c r="C13" s="3">
        <v>5</v>
      </c>
      <c r="D13" s="3">
        <v>6</v>
      </c>
      <c r="E13" s="3">
        <v>2</v>
      </c>
      <c r="F13" s="3">
        <v>3</v>
      </c>
      <c r="G13" s="3">
        <v>0</v>
      </c>
      <c r="H13" s="3">
        <v>1</v>
      </c>
      <c r="I13" s="3">
        <v>4</v>
      </c>
      <c r="J13" s="4">
        <v>5</v>
      </c>
    </row>
    <row r="14" spans="2:20" x14ac:dyDescent="0.25">
      <c r="B14" s="1" t="s">
        <v>4</v>
      </c>
      <c r="C14" s="3">
        <v>5</v>
      </c>
      <c r="D14" s="3">
        <v>6</v>
      </c>
      <c r="E14" s="3">
        <v>2</v>
      </c>
      <c r="F14" s="3">
        <v>2</v>
      </c>
      <c r="G14" s="3">
        <v>2</v>
      </c>
      <c r="H14" s="3">
        <v>3</v>
      </c>
      <c r="I14" s="3">
        <v>5</v>
      </c>
      <c r="J14" s="4">
        <v>5</v>
      </c>
    </row>
    <row r="15" spans="2:20" ht="15.75" thickBot="1" x14ac:dyDescent="0.3"/>
    <row r="16" spans="2:20" x14ac:dyDescent="0.25">
      <c r="B16" s="39" t="s">
        <v>47</v>
      </c>
      <c r="C16" s="40" t="s">
        <v>5</v>
      </c>
      <c r="D16" s="40" t="s">
        <v>6</v>
      </c>
      <c r="E16" s="40" t="s">
        <v>7</v>
      </c>
      <c r="F16" s="41" t="s">
        <v>8</v>
      </c>
      <c r="G16" s="9"/>
      <c r="H16" s="39" t="s">
        <v>47</v>
      </c>
      <c r="I16" s="40" t="s">
        <v>5</v>
      </c>
      <c r="J16" s="40" t="s">
        <v>6</v>
      </c>
      <c r="K16" s="40" t="s">
        <v>7</v>
      </c>
      <c r="L16" s="41" t="s">
        <v>8</v>
      </c>
    </row>
    <row r="17" spans="2:12" x14ac:dyDescent="0.25">
      <c r="B17" s="42" t="s">
        <v>48</v>
      </c>
      <c r="C17" s="8">
        <f>ABS(MIN(C4:D4)-MIN(C4:D4))+ABS(MAX(C4:D4)-MAX(C4:D4))</f>
        <v>0</v>
      </c>
      <c r="D17" s="8">
        <f>ABS(MIN(E4:F4)-MIN(E4:F4))+ABS(MAX(E4:F4)-MAX(E4:F4))</f>
        <v>0</v>
      </c>
      <c r="E17" s="8">
        <f>ABS(MIN(G4:H4)-MIN(G4:H4))+ABS(MAX(G4:H4)-MAX(G4:H4))</f>
        <v>0</v>
      </c>
      <c r="F17" s="8">
        <f>ABS(MIN(I4:J4)-MIN(I4:J4))+ABS(MAX(I4:J4)-MAX(I4:J4))</f>
        <v>0</v>
      </c>
      <c r="G17" s="21"/>
      <c r="H17" s="42" t="s">
        <v>56</v>
      </c>
      <c r="I17" s="8">
        <f>C23</f>
        <v>1</v>
      </c>
      <c r="J17" s="8">
        <f>D23</f>
        <v>1</v>
      </c>
      <c r="K17" s="8">
        <f>E23</f>
        <v>1</v>
      </c>
      <c r="L17" s="8">
        <f>F23</f>
        <v>1</v>
      </c>
    </row>
    <row r="18" spans="2:12" x14ac:dyDescent="0.25">
      <c r="B18" s="43" t="s">
        <v>49</v>
      </c>
      <c r="C18" s="8">
        <f t="shared" ref="C18:C20" si="0">ABS(MIN(C5:D5)-MIN(C5:D5))+ABS(MAX(C5:D5)-MAX(C5:D5))</f>
        <v>0</v>
      </c>
      <c r="D18" s="8">
        <f t="shared" ref="D18:D20" si="1">ABS(MIN(E5:F5)-MIN(E5:F5))+ABS(MAX(E5:F5)-MAX(E5:F5))</f>
        <v>0</v>
      </c>
      <c r="E18" s="8">
        <f t="shared" ref="E18:E20" si="2">ABS(MIN(G5:H5)-MIN(G5:H5))+ABS(MAX(G5:H5)-MAX(G5:H5))</f>
        <v>0</v>
      </c>
      <c r="F18" s="8">
        <f t="shared" ref="F18:F20" si="3">ABS(MIN(I5:J5)-MIN(I5:J5))+ABS(MAX(I5:J5)-MAX(I5:J5))</f>
        <v>0</v>
      </c>
      <c r="G18" s="11"/>
      <c r="H18" s="43" t="s">
        <v>57</v>
      </c>
      <c r="I18" s="8">
        <f t="shared" ref="I18:L20" si="4">C24</f>
        <v>1</v>
      </c>
      <c r="J18" s="8">
        <f t="shared" si="4"/>
        <v>1</v>
      </c>
      <c r="K18" s="8">
        <f t="shared" si="4"/>
        <v>1</v>
      </c>
      <c r="L18" s="8">
        <f t="shared" si="4"/>
        <v>1</v>
      </c>
    </row>
    <row r="19" spans="2:12" x14ac:dyDescent="0.25">
      <c r="B19" s="43" t="s">
        <v>50</v>
      </c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11"/>
      <c r="H19" s="43" t="s">
        <v>58</v>
      </c>
      <c r="I19" s="8">
        <f t="shared" si="4"/>
        <v>1</v>
      </c>
      <c r="J19" s="8">
        <f t="shared" si="4"/>
        <v>1</v>
      </c>
      <c r="K19" s="8">
        <f t="shared" si="4"/>
        <v>1</v>
      </c>
      <c r="L19" s="8">
        <f t="shared" si="4"/>
        <v>1</v>
      </c>
    </row>
    <row r="20" spans="2:12" ht="15.75" thickBot="1" x14ac:dyDescent="0.3">
      <c r="B20" s="44" t="s">
        <v>51</v>
      </c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11"/>
      <c r="H20" s="44" t="s">
        <v>59</v>
      </c>
      <c r="I20" s="8">
        <f t="shared" si="4"/>
        <v>3</v>
      </c>
      <c r="J20" s="8">
        <f t="shared" si="4"/>
        <v>2</v>
      </c>
      <c r="K20" s="8">
        <f t="shared" si="4"/>
        <v>1</v>
      </c>
      <c r="L20" s="8">
        <f>F26</f>
        <v>4</v>
      </c>
    </row>
    <row r="21" spans="2:12" ht="15.75" thickBot="1" x14ac:dyDescent="0.3">
      <c r="B21" s="11"/>
      <c r="C21" s="11"/>
      <c r="D21" s="11"/>
      <c r="E21" s="11"/>
      <c r="F21" s="11"/>
      <c r="G21" s="11"/>
      <c r="H21" s="11"/>
      <c r="I21" s="11"/>
      <c r="J21" s="11"/>
    </row>
    <row r="22" spans="2:12" x14ac:dyDescent="0.25">
      <c r="B22" s="39" t="s">
        <v>47</v>
      </c>
      <c r="C22" s="40" t="s">
        <v>5</v>
      </c>
      <c r="D22" s="40" t="s">
        <v>6</v>
      </c>
      <c r="E22" s="40" t="s">
        <v>7</v>
      </c>
      <c r="F22" s="41" t="s">
        <v>8</v>
      </c>
      <c r="G22" s="11"/>
      <c r="H22" s="39" t="s">
        <v>47</v>
      </c>
      <c r="I22" s="40" t="s">
        <v>5</v>
      </c>
      <c r="J22" s="40" t="s">
        <v>6</v>
      </c>
      <c r="K22" s="40" t="s">
        <v>7</v>
      </c>
      <c r="L22" s="41" t="s">
        <v>8</v>
      </c>
    </row>
    <row r="23" spans="2:12" x14ac:dyDescent="0.25">
      <c r="B23" s="42" t="s">
        <v>52</v>
      </c>
      <c r="C23" s="8">
        <f>ABS(MIN(C11:D11)-MIN(C4:D4))+ABS(MAX(C11:D11)-MAX(C4:D4))</f>
        <v>1</v>
      </c>
      <c r="D23" s="8">
        <f>ABS(MIN(E11:F11)-MIN(E4:F4))+ABS(MAX(E11:F11)-MAX(E4:F4))</f>
        <v>1</v>
      </c>
      <c r="E23" s="8">
        <f>ABS(MIN(G11:H11)-MIN(G4:H4))+ABS(MAX(G11:H11)-MAX(G4:H4))</f>
        <v>1</v>
      </c>
      <c r="F23" s="8">
        <f>ABS(MIN(I11:J11)-MIN(I4:J4))+ABS(MAX(I11:J11)-MAX(I4:J4))</f>
        <v>1</v>
      </c>
      <c r="H23" s="42" t="s">
        <v>60</v>
      </c>
      <c r="I23" s="8">
        <f>ABS(MIN(C11:D11)-MIN(C11:D11))+ABS(MAX(C11:D11)-MAX(C11:D11))</f>
        <v>0</v>
      </c>
      <c r="J23" s="8">
        <f>ABS(MIN(E11:F11)-MIN(E11:F11))+ABS(MAX(E11:F11)-MAX(E11:F11))</f>
        <v>0</v>
      </c>
      <c r="K23" s="8">
        <f>ABS(MIN(G11:H11)-MIN(G11:H11))+ABS(MAX(G11:H11)-MAX(G11:H11))</f>
        <v>0</v>
      </c>
      <c r="L23" s="8">
        <f>ABS(MIN(I11:J11)-MIN(I11:J11))+ABS(MAX(I11:J11)-MAX(I11:J11))</f>
        <v>0</v>
      </c>
    </row>
    <row r="24" spans="2:12" x14ac:dyDescent="0.25">
      <c r="B24" s="43" t="s">
        <v>53</v>
      </c>
      <c r="C24" s="8">
        <f t="shared" ref="C24:C26" si="5">ABS(MIN(C12:D12)-MIN(C5:D5))+ABS(MAX(C12:D12)-MAX(C5:D5))</f>
        <v>1</v>
      </c>
      <c r="D24" s="8">
        <f t="shared" ref="D24:D26" si="6">ABS(MIN(E12:F12)-MIN(E5:F5))+ABS(MAX(E12:F12)-MAX(E5:F5))</f>
        <v>1</v>
      </c>
      <c r="E24" s="8">
        <f t="shared" ref="E24:E26" si="7">ABS(MIN(G12:H12)-MIN(G5:H5))+ABS(MAX(G12:H12)-MAX(G5:H5))</f>
        <v>1</v>
      </c>
      <c r="F24" s="8">
        <f t="shared" ref="F24:F25" si="8">ABS(MIN(I12:J12)-MIN(I5:J5))+ABS(MAX(I12:J12)-MAX(I5:J5))</f>
        <v>1</v>
      </c>
      <c r="H24" s="43" t="s">
        <v>61</v>
      </c>
      <c r="I24" s="8">
        <f t="shared" ref="I24:I26" si="9">ABS(MIN(C12:D12)-MIN(C12:D12))+ABS(MAX(C12:D12)-MAX(C12:D12))</f>
        <v>0</v>
      </c>
      <c r="J24" s="8">
        <f t="shared" ref="J24:J26" si="10">ABS(MIN(E12:F12)-MIN(E12:F12))+ABS(MAX(E12:F12)-MAX(E12:F12))</f>
        <v>0</v>
      </c>
      <c r="K24" s="8">
        <f t="shared" ref="K24:K25" si="11">ABS(MIN(G12:H12)-MIN(G12:H12))+ABS(MAX(G12:H12)-MAX(G12:H12))</f>
        <v>0</v>
      </c>
      <c r="L24" s="8">
        <f t="shared" ref="L24:L25" si="12">ABS(MIN(I12:J12)-MIN(I12:J12))+ABS(MAX(I12:J12)-MAX(I12:J12))</f>
        <v>0</v>
      </c>
    </row>
    <row r="25" spans="2:12" x14ac:dyDescent="0.25">
      <c r="B25" s="43" t="s">
        <v>54</v>
      </c>
      <c r="C25" s="8">
        <f t="shared" si="5"/>
        <v>1</v>
      </c>
      <c r="D25" s="8">
        <f t="shared" si="6"/>
        <v>1</v>
      </c>
      <c r="E25" s="8">
        <f t="shared" si="7"/>
        <v>1</v>
      </c>
      <c r="F25" s="8">
        <f t="shared" si="8"/>
        <v>1</v>
      </c>
      <c r="H25" s="43" t="s">
        <v>62</v>
      </c>
      <c r="I25" s="8">
        <f t="shared" si="9"/>
        <v>0</v>
      </c>
      <c r="J25" s="8">
        <f t="shared" si="10"/>
        <v>0</v>
      </c>
      <c r="K25" s="8">
        <f t="shared" si="11"/>
        <v>0</v>
      </c>
      <c r="L25" s="8">
        <f t="shared" si="12"/>
        <v>0</v>
      </c>
    </row>
    <row r="26" spans="2:12" ht="15.75" thickBot="1" x14ac:dyDescent="0.3">
      <c r="B26" s="44" t="s">
        <v>55</v>
      </c>
      <c r="C26" s="8">
        <f t="shared" si="5"/>
        <v>3</v>
      </c>
      <c r="D26" s="8">
        <f t="shared" si="6"/>
        <v>2</v>
      </c>
      <c r="E26" s="8">
        <f t="shared" si="7"/>
        <v>1</v>
      </c>
      <c r="F26" s="8">
        <f>ABS(MIN(I14:J14)-MIN(I7:J7))+ABS(MAX(I14:J14)-MAX(I7:J7))</f>
        <v>4</v>
      </c>
      <c r="H26" s="44" t="s">
        <v>63</v>
      </c>
      <c r="I26" s="8">
        <f t="shared" si="9"/>
        <v>0</v>
      </c>
      <c r="J26" s="8">
        <f t="shared" si="10"/>
        <v>0</v>
      </c>
      <c r="K26" s="8">
        <f>ABS(MIN(G14:H14)-MIN(G14:H14))+ABS(MAX(G14:H14)-MAX(G14:H14))</f>
        <v>0</v>
      </c>
      <c r="L26" s="8">
        <f>ABS(MIN(I14:J14)-MIN(I14:J14))+ABS(MAX(I14:J14)-MAX(I14:J14))</f>
        <v>0</v>
      </c>
    </row>
    <row r="28" spans="2:12" ht="15.75" thickBot="1" x14ac:dyDescent="0.3"/>
    <row r="29" spans="2:12" x14ac:dyDescent="0.25">
      <c r="B29" s="28" t="s">
        <v>64</v>
      </c>
      <c r="C29" s="45" t="s">
        <v>65</v>
      </c>
      <c r="D29" s="45" t="s">
        <v>66</v>
      </c>
      <c r="E29" s="45" t="s">
        <v>67</v>
      </c>
      <c r="F29" s="45" t="s">
        <v>68</v>
      </c>
      <c r="G29" s="46" t="s">
        <v>69</v>
      </c>
    </row>
    <row r="30" spans="2:12" x14ac:dyDescent="0.25">
      <c r="B30" s="1" t="s">
        <v>1</v>
      </c>
      <c r="C30" s="17">
        <f>SUM(C17:F17,C23:F23)</f>
        <v>4</v>
      </c>
      <c r="D30" s="17">
        <f>SUM(I17:L17,I23:L23)</f>
        <v>4</v>
      </c>
      <c r="E30" s="17">
        <f>SUM(C30:D30)</f>
        <v>8</v>
      </c>
      <c r="F30" s="17">
        <f>C30/E30</f>
        <v>0.5</v>
      </c>
      <c r="G30" s="47">
        <f>D30/E30</f>
        <v>0.5</v>
      </c>
    </row>
    <row r="31" spans="2:12" x14ac:dyDescent="0.25">
      <c r="B31" s="1" t="s">
        <v>2</v>
      </c>
      <c r="C31" s="17">
        <f t="shared" ref="C31:C33" si="13">SUM(C18:F18,C24:F24)</f>
        <v>4</v>
      </c>
      <c r="D31" s="17">
        <f t="shared" ref="D31:D33" si="14">SUM(I18:L18,I24:L24)</f>
        <v>4</v>
      </c>
      <c r="E31" s="17">
        <f t="shared" ref="E31:E33" si="15">SUM(C31:D31)</f>
        <v>8</v>
      </c>
      <c r="F31" s="17">
        <f t="shared" ref="F31:F33" si="16">C31/E31</f>
        <v>0.5</v>
      </c>
      <c r="G31" s="47">
        <f t="shared" ref="G31:G33" si="17">D31/E31</f>
        <v>0.5</v>
      </c>
    </row>
    <row r="32" spans="2:12" x14ac:dyDescent="0.25">
      <c r="B32" s="1" t="s">
        <v>3</v>
      </c>
      <c r="C32" s="17">
        <f t="shared" si="13"/>
        <v>4</v>
      </c>
      <c r="D32" s="17">
        <f t="shared" si="14"/>
        <v>4</v>
      </c>
      <c r="E32" s="17">
        <f t="shared" si="15"/>
        <v>8</v>
      </c>
      <c r="F32" s="17">
        <f t="shared" si="16"/>
        <v>0.5</v>
      </c>
      <c r="G32" s="47">
        <f t="shared" si="17"/>
        <v>0.5</v>
      </c>
    </row>
    <row r="33" spans="2:30" ht="15.75" thickBot="1" x14ac:dyDescent="0.3">
      <c r="B33" s="2" t="s">
        <v>4</v>
      </c>
      <c r="C33" s="35">
        <f t="shared" si="13"/>
        <v>10</v>
      </c>
      <c r="D33" s="35">
        <f t="shared" si="14"/>
        <v>10</v>
      </c>
      <c r="E33" s="35">
        <f t="shared" si="15"/>
        <v>20</v>
      </c>
      <c r="F33" s="35">
        <f t="shared" si="16"/>
        <v>0.5</v>
      </c>
      <c r="G33" s="48">
        <f t="shared" si="17"/>
        <v>0.5</v>
      </c>
    </row>
    <row r="34" spans="2:30" ht="15.75" thickBot="1" x14ac:dyDescent="0.3"/>
    <row r="35" spans="2:30" x14ac:dyDescent="0.25">
      <c r="B35" s="49" t="s">
        <v>70</v>
      </c>
      <c r="C35" s="127" t="s">
        <v>5</v>
      </c>
      <c r="D35" s="128"/>
      <c r="E35" s="128"/>
      <c r="F35" s="128"/>
      <c r="G35" s="128"/>
      <c r="H35" s="128"/>
      <c r="I35" s="129"/>
      <c r="J35" s="127" t="s">
        <v>6</v>
      </c>
      <c r="K35" s="128"/>
      <c r="L35" s="128"/>
      <c r="M35" s="128"/>
      <c r="N35" s="128"/>
      <c r="O35" s="128"/>
      <c r="P35" s="129"/>
      <c r="Q35" s="127" t="s">
        <v>7</v>
      </c>
      <c r="R35" s="128"/>
      <c r="S35" s="128"/>
      <c r="T35" s="128"/>
      <c r="U35" s="128"/>
      <c r="V35" s="128"/>
      <c r="W35" s="129"/>
      <c r="X35" s="127" t="s">
        <v>8</v>
      </c>
      <c r="Y35" s="128"/>
      <c r="Z35" s="128"/>
      <c r="AA35" s="128"/>
      <c r="AB35" s="128"/>
      <c r="AC35" s="128"/>
      <c r="AD35" s="129"/>
    </row>
    <row r="36" spans="2:30" x14ac:dyDescent="0.25">
      <c r="B36" s="50" t="s">
        <v>1</v>
      </c>
      <c r="C36" s="51">
        <v>0</v>
      </c>
      <c r="D36" s="51">
        <v>0</v>
      </c>
      <c r="E36" s="51">
        <v>0</v>
      </c>
      <c r="F36" s="51">
        <v>0</v>
      </c>
      <c r="G36" s="51">
        <v>1</v>
      </c>
      <c r="H36" s="51">
        <v>0</v>
      </c>
      <c r="I36" s="51">
        <v>0</v>
      </c>
      <c r="J36" s="51">
        <v>1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1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1</v>
      </c>
      <c r="AB36" s="51">
        <v>0</v>
      </c>
      <c r="AC36" s="51">
        <v>0</v>
      </c>
      <c r="AD36" s="51">
        <v>0</v>
      </c>
    </row>
    <row r="37" spans="2:30" x14ac:dyDescent="0.25">
      <c r="B37" s="50" t="s">
        <v>2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1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1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1</v>
      </c>
    </row>
    <row r="38" spans="2:30" x14ac:dyDescent="0.25">
      <c r="B38" s="50" t="s">
        <v>3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1</v>
      </c>
      <c r="AC38" s="51">
        <v>0</v>
      </c>
      <c r="AD38" s="51">
        <v>0</v>
      </c>
    </row>
    <row r="39" spans="2:30" x14ac:dyDescent="0.25">
      <c r="B39" s="50" t="s">
        <v>4</v>
      </c>
      <c r="C39" s="51">
        <v>0</v>
      </c>
      <c r="D39" s="51">
        <v>0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1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1</v>
      </c>
      <c r="AB39" s="51">
        <v>0</v>
      </c>
      <c r="AC39" s="51">
        <v>0</v>
      </c>
      <c r="AD39" s="51">
        <v>0</v>
      </c>
    </row>
    <row r="40" spans="2:30" x14ac:dyDescent="0.25"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 ht="15.75" thickBot="1" x14ac:dyDescent="0.3">
      <c r="B41" s="52"/>
      <c r="C41" s="19">
        <v>0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0</v>
      </c>
      <c r="K41" s="19">
        <v>1</v>
      </c>
      <c r="L41" s="19">
        <v>2</v>
      </c>
      <c r="M41" s="19">
        <v>3</v>
      </c>
      <c r="N41" s="19">
        <v>4</v>
      </c>
      <c r="O41" s="19">
        <v>5</v>
      </c>
      <c r="P41" s="19">
        <v>6</v>
      </c>
      <c r="Q41" s="19">
        <v>0</v>
      </c>
      <c r="R41" s="19">
        <v>1</v>
      </c>
      <c r="S41" s="19">
        <v>2</v>
      </c>
      <c r="T41" s="19">
        <v>3</v>
      </c>
      <c r="U41" s="19">
        <v>4</v>
      </c>
      <c r="V41" s="19">
        <v>5</v>
      </c>
      <c r="W41" s="19">
        <v>6</v>
      </c>
      <c r="X41" s="19">
        <v>0</v>
      </c>
      <c r="Y41" s="19">
        <v>1</v>
      </c>
      <c r="Z41" s="19">
        <v>2</v>
      </c>
      <c r="AA41" s="19">
        <v>3</v>
      </c>
      <c r="AB41" s="19">
        <v>4</v>
      </c>
      <c r="AC41" s="19">
        <v>5</v>
      </c>
      <c r="AD41" s="19">
        <v>6</v>
      </c>
    </row>
    <row r="42" spans="2:30" x14ac:dyDescent="0.25">
      <c r="B42" s="49" t="s">
        <v>71</v>
      </c>
      <c r="C42" s="127" t="s">
        <v>5</v>
      </c>
      <c r="D42" s="128"/>
      <c r="E42" s="128"/>
      <c r="F42" s="128"/>
      <c r="G42" s="128"/>
      <c r="H42" s="128"/>
      <c r="I42" s="129"/>
      <c r="J42" s="127" t="s">
        <v>6</v>
      </c>
      <c r="K42" s="128"/>
      <c r="L42" s="128"/>
      <c r="M42" s="128"/>
      <c r="N42" s="128"/>
      <c r="O42" s="128"/>
      <c r="P42" s="129"/>
      <c r="Q42" s="127" t="s">
        <v>7</v>
      </c>
      <c r="R42" s="128"/>
      <c r="S42" s="128"/>
      <c r="T42" s="128"/>
      <c r="U42" s="128"/>
      <c r="V42" s="128"/>
      <c r="W42" s="129"/>
      <c r="X42" s="127" t="s">
        <v>8</v>
      </c>
      <c r="Y42" s="128"/>
      <c r="Z42" s="128"/>
      <c r="AA42" s="128"/>
      <c r="AB42" s="128"/>
      <c r="AC42" s="128"/>
      <c r="AD42" s="129"/>
    </row>
    <row r="43" spans="2:30" x14ac:dyDescent="0.25">
      <c r="B43" s="50" t="s">
        <v>1</v>
      </c>
      <c r="C43" s="51">
        <v>0</v>
      </c>
      <c r="D43" s="51">
        <v>0</v>
      </c>
      <c r="E43" s="51">
        <v>0</v>
      </c>
      <c r="F43" s="51">
        <v>0.5</v>
      </c>
      <c r="G43" s="51">
        <v>0.5</v>
      </c>
      <c r="H43" s="51">
        <v>0</v>
      </c>
      <c r="I43" s="51">
        <v>0</v>
      </c>
      <c r="J43" s="51">
        <v>0.5</v>
      </c>
      <c r="K43" s="51">
        <v>0.5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0.5</v>
      </c>
      <c r="T43" s="51">
        <v>0.5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0.5</v>
      </c>
      <c r="AA43" s="51">
        <v>0.5</v>
      </c>
      <c r="AB43" s="51">
        <v>0</v>
      </c>
      <c r="AC43" s="51">
        <v>0</v>
      </c>
      <c r="AD43" s="51">
        <v>0</v>
      </c>
    </row>
    <row r="44" spans="2:30" x14ac:dyDescent="0.25">
      <c r="B44" s="50" t="s">
        <v>2</v>
      </c>
      <c r="C44" s="51">
        <v>0</v>
      </c>
      <c r="D44" s="51">
        <v>0</v>
      </c>
      <c r="E44" s="51">
        <v>0</v>
      </c>
      <c r="F44" s="51">
        <v>0</v>
      </c>
      <c r="G44" s="51">
        <v>0.5</v>
      </c>
      <c r="H44" s="51">
        <v>0.5</v>
      </c>
      <c r="I44" s="51">
        <v>0</v>
      </c>
      <c r="J44" s="51">
        <v>0</v>
      </c>
      <c r="K44" s="51">
        <v>0.5</v>
      </c>
      <c r="L44" s="51">
        <v>0.5</v>
      </c>
      <c r="M44" s="51">
        <v>0</v>
      </c>
      <c r="N44" s="51">
        <v>0</v>
      </c>
      <c r="O44" s="51">
        <v>0</v>
      </c>
      <c r="P44" s="51">
        <v>0</v>
      </c>
      <c r="Q44" s="51">
        <v>0.5</v>
      </c>
      <c r="R44" s="51">
        <v>0.5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0.5</v>
      </c>
      <c r="AD44" s="51">
        <v>0.5</v>
      </c>
    </row>
    <row r="45" spans="2:30" x14ac:dyDescent="0.25">
      <c r="B45" s="50" t="s">
        <v>3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0.5</v>
      </c>
      <c r="I45" s="51">
        <v>0.5</v>
      </c>
      <c r="J45" s="51">
        <v>0</v>
      </c>
      <c r="K45" s="51">
        <v>0</v>
      </c>
      <c r="L45" s="51">
        <v>0.5</v>
      </c>
      <c r="M45" s="51">
        <v>0.5</v>
      </c>
      <c r="N45" s="51">
        <v>0</v>
      </c>
      <c r="O45" s="51">
        <v>0</v>
      </c>
      <c r="P45" s="51">
        <v>0</v>
      </c>
      <c r="Q45" s="51">
        <v>0.5</v>
      </c>
      <c r="R45" s="51">
        <v>0.5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0.5</v>
      </c>
      <c r="AC45" s="51">
        <v>0.5</v>
      </c>
      <c r="AD45" s="51">
        <v>0</v>
      </c>
    </row>
    <row r="46" spans="2:30" x14ac:dyDescent="0.25">
      <c r="B46" s="50" t="s">
        <v>4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0.5</v>
      </c>
      <c r="I46" s="51">
        <v>0.5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0.5</v>
      </c>
      <c r="T46" s="51">
        <v>0.5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1</v>
      </c>
      <c r="AD46" s="51">
        <v>0</v>
      </c>
    </row>
    <row r="47" spans="2:30" ht="15.75" thickBot="1" x14ac:dyDescent="0.3"/>
    <row r="48" spans="2:30" x14ac:dyDescent="0.25">
      <c r="B48" s="54"/>
      <c r="C48" s="127" t="s">
        <v>5</v>
      </c>
      <c r="D48" s="128"/>
      <c r="E48" s="128"/>
      <c r="F48" s="128"/>
      <c r="G48" s="128"/>
      <c r="H48" s="128"/>
      <c r="I48" s="129"/>
      <c r="J48" s="127" t="s">
        <v>6</v>
      </c>
      <c r="K48" s="128"/>
      <c r="L48" s="128"/>
      <c r="M48" s="128"/>
      <c r="N48" s="128"/>
      <c r="O48" s="128"/>
      <c r="P48" s="129"/>
      <c r="Q48" s="127" t="s">
        <v>7</v>
      </c>
      <c r="R48" s="128"/>
      <c r="S48" s="128"/>
      <c r="T48" s="128"/>
      <c r="U48" s="128"/>
      <c r="V48" s="128"/>
      <c r="W48" s="129"/>
      <c r="X48" s="127" t="s">
        <v>8</v>
      </c>
      <c r="Y48" s="128"/>
      <c r="Z48" s="128"/>
      <c r="AA48" s="128"/>
      <c r="AB48" s="128"/>
      <c r="AC48" s="128"/>
      <c r="AD48" s="129"/>
    </row>
    <row r="49" spans="2:30" x14ac:dyDescent="0.25">
      <c r="B49" s="55" t="s">
        <v>1</v>
      </c>
      <c r="C49" s="56">
        <f t="shared" ref="C49:AD52" si="18">SUM(C36*$F$30,C43*$G$30)</f>
        <v>0</v>
      </c>
      <c r="D49" s="56">
        <f t="shared" si="18"/>
        <v>0</v>
      </c>
      <c r="E49" s="56">
        <f t="shared" si="18"/>
        <v>0</v>
      </c>
      <c r="F49" s="56">
        <f t="shared" si="18"/>
        <v>0.25</v>
      </c>
      <c r="G49" s="56">
        <f t="shared" si="18"/>
        <v>0.75</v>
      </c>
      <c r="H49" s="56">
        <f t="shared" si="18"/>
        <v>0</v>
      </c>
      <c r="I49" s="56">
        <f t="shared" si="18"/>
        <v>0</v>
      </c>
      <c r="J49" s="56">
        <f t="shared" si="18"/>
        <v>0.75</v>
      </c>
      <c r="K49" s="56">
        <f t="shared" si="18"/>
        <v>0.25</v>
      </c>
      <c r="L49" s="56">
        <f t="shared" si="18"/>
        <v>0</v>
      </c>
      <c r="M49" s="56">
        <f t="shared" si="18"/>
        <v>0</v>
      </c>
      <c r="N49" s="56">
        <f t="shared" si="18"/>
        <v>0</v>
      </c>
      <c r="O49" s="56">
        <f t="shared" si="18"/>
        <v>0</v>
      </c>
      <c r="P49" s="56">
        <f t="shared" si="18"/>
        <v>0</v>
      </c>
      <c r="Q49" s="56">
        <f t="shared" si="18"/>
        <v>0</v>
      </c>
      <c r="R49" s="56">
        <f t="shared" si="18"/>
        <v>0</v>
      </c>
      <c r="S49" s="56">
        <f t="shared" si="18"/>
        <v>0.75</v>
      </c>
      <c r="T49" s="56">
        <f t="shared" si="18"/>
        <v>0.25</v>
      </c>
      <c r="U49" s="56">
        <f t="shared" si="18"/>
        <v>0</v>
      </c>
      <c r="V49" s="56">
        <f t="shared" si="18"/>
        <v>0</v>
      </c>
      <c r="W49" s="56">
        <f t="shared" si="18"/>
        <v>0</v>
      </c>
      <c r="X49" s="56">
        <f t="shared" si="18"/>
        <v>0</v>
      </c>
      <c r="Y49" s="56">
        <f t="shared" si="18"/>
        <v>0</v>
      </c>
      <c r="Z49" s="56">
        <f t="shared" si="18"/>
        <v>0.25</v>
      </c>
      <c r="AA49" s="56">
        <f t="shared" si="18"/>
        <v>0.75</v>
      </c>
      <c r="AB49" s="56">
        <f t="shared" si="18"/>
        <v>0</v>
      </c>
      <c r="AC49" s="56">
        <f t="shared" si="18"/>
        <v>0</v>
      </c>
      <c r="AD49" s="56">
        <f t="shared" si="18"/>
        <v>0</v>
      </c>
    </row>
    <row r="50" spans="2:30" x14ac:dyDescent="0.25">
      <c r="B50" s="55" t="s">
        <v>2</v>
      </c>
      <c r="C50" s="56">
        <f t="shared" si="18"/>
        <v>0</v>
      </c>
      <c r="D50" s="56">
        <f t="shared" si="18"/>
        <v>0</v>
      </c>
      <c r="E50" s="56">
        <f t="shared" si="18"/>
        <v>0</v>
      </c>
      <c r="F50" s="56">
        <f t="shared" si="18"/>
        <v>0</v>
      </c>
      <c r="G50" s="56">
        <f t="shared" si="18"/>
        <v>0.25</v>
      </c>
      <c r="H50" s="56">
        <f t="shared" si="18"/>
        <v>0.75</v>
      </c>
      <c r="I50" s="56">
        <f t="shared" si="18"/>
        <v>0</v>
      </c>
      <c r="J50" s="56">
        <f t="shared" si="18"/>
        <v>0</v>
      </c>
      <c r="K50" s="56">
        <f t="shared" si="18"/>
        <v>0.75</v>
      </c>
      <c r="L50" s="56">
        <f t="shared" si="18"/>
        <v>0.25</v>
      </c>
      <c r="M50" s="56">
        <f t="shared" si="18"/>
        <v>0</v>
      </c>
      <c r="N50" s="56">
        <f t="shared" si="18"/>
        <v>0</v>
      </c>
      <c r="O50" s="56">
        <f t="shared" si="18"/>
        <v>0</v>
      </c>
      <c r="P50" s="56">
        <f t="shared" si="18"/>
        <v>0</v>
      </c>
      <c r="Q50" s="56">
        <f t="shared" si="18"/>
        <v>0.75</v>
      </c>
      <c r="R50" s="56">
        <f t="shared" si="18"/>
        <v>0.25</v>
      </c>
      <c r="S50" s="56">
        <f t="shared" si="18"/>
        <v>0</v>
      </c>
      <c r="T50" s="56">
        <f t="shared" si="18"/>
        <v>0</v>
      </c>
      <c r="U50" s="56">
        <f t="shared" si="18"/>
        <v>0</v>
      </c>
      <c r="V50" s="56">
        <f t="shared" si="18"/>
        <v>0</v>
      </c>
      <c r="W50" s="56">
        <f t="shared" si="18"/>
        <v>0</v>
      </c>
      <c r="X50" s="56">
        <f t="shared" si="18"/>
        <v>0</v>
      </c>
      <c r="Y50" s="56">
        <f t="shared" si="18"/>
        <v>0</v>
      </c>
      <c r="Z50" s="56">
        <f t="shared" si="18"/>
        <v>0</v>
      </c>
      <c r="AA50" s="56">
        <f t="shared" si="18"/>
        <v>0</v>
      </c>
      <c r="AB50" s="56">
        <f t="shared" si="18"/>
        <v>0</v>
      </c>
      <c r="AC50" s="56">
        <f t="shared" si="18"/>
        <v>0.25</v>
      </c>
      <c r="AD50" s="56">
        <f t="shared" si="18"/>
        <v>0.75</v>
      </c>
    </row>
    <row r="51" spans="2:30" x14ac:dyDescent="0.25">
      <c r="B51" s="55" t="s">
        <v>3</v>
      </c>
      <c r="C51" s="56">
        <f t="shared" si="18"/>
        <v>0</v>
      </c>
      <c r="D51" s="56">
        <f t="shared" si="18"/>
        <v>0</v>
      </c>
      <c r="E51" s="56">
        <f t="shared" si="18"/>
        <v>0</v>
      </c>
      <c r="F51" s="56">
        <f t="shared" si="18"/>
        <v>0</v>
      </c>
      <c r="G51" s="56">
        <f t="shared" si="18"/>
        <v>0</v>
      </c>
      <c r="H51" s="56">
        <f t="shared" si="18"/>
        <v>0.25</v>
      </c>
      <c r="I51" s="56">
        <f t="shared" si="18"/>
        <v>0.75</v>
      </c>
      <c r="J51" s="56">
        <f t="shared" si="18"/>
        <v>0</v>
      </c>
      <c r="K51" s="56">
        <f t="shared" si="18"/>
        <v>0</v>
      </c>
      <c r="L51" s="56">
        <f t="shared" si="18"/>
        <v>0.75</v>
      </c>
      <c r="M51" s="56">
        <f t="shared" si="18"/>
        <v>0.25</v>
      </c>
      <c r="N51" s="56">
        <f t="shared" si="18"/>
        <v>0</v>
      </c>
      <c r="O51" s="56">
        <f t="shared" si="18"/>
        <v>0</v>
      </c>
      <c r="P51" s="56">
        <f t="shared" si="18"/>
        <v>0</v>
      </c>
      <c r="Q51" s="56">
        <f t="shared" si="18"/>
        <v>0.25</v>
      </c>
      <c r="R51" s="56">
        <f t="shared" si="18"/>
        <v>0.75</v>
      </c>
      <c r="S51" s="56">
        <f t="shared" si="18"/>
        <v>0</v>
      </c>
      <c r="T51" s="56">
        <f t="shared" si="18"/>
        <v>0</v>
      </c>
      <c r="U51" s="56">
        <f t="shared" si="18"/>
        <v>0</v>
      </c>
      <c r="V51" s="56">
        <f t="shared" si="18"/>
        <v>0</v>
      </c>
      <c r="W51" s="56">
        <f t="shared" si="18"/>
        <v>0</v>
      </c>
      <c r="X51" s="56">
        <f t="shared" si="18"/>
        <v>0</v>
      </c>
      <c r="Y51" s="56">
        <f t="shared" si="18"/>
        <v>0</v>
      </c>
      <c r="Z51" s="56">
        <f t="shared" si="18"/>
        <v>0</v>
      </c>
      <c r="AA51" s="56">
        <f t="shared" si="18"/>
        <v>0</v>
      </c>
      <c r="AB51" s="56">
        <f t="shared" si="18"/>
        <v>0.75</v>
      </c>
      <c r="AC51" s="56">
        <f t="shared" si="18"/>
        <v>0.25</v>
      </c>
      <c r="AD51" s="56">
        <f t="shared" si="18"/>
        <v>0</v>
      </c>
    </row>
    <row r="52" spans="2:30" ht="15.75" thickBot="1" x14ac:dyDescent="0.3">
      <c r="B52" s="55" t="s">
        <v>4</v>
      </c>
      <c r="C52" s="56">
        <f t="shared" si="18"/>
        <v>0</v>
      </c>
      <c r="D52" s="56">
        <f t="shared" si="18"/>
        <v>0</v>
      </c>
      <c r="E52" s="56">
        <f t="shared" si="18"/>
        <v>0</v>
      </c>
      <c r="F52" s="56">
        <f t="shared" si="18"/>
        <v>0</v>
      </c>
      <c r="G52" s="56">
        <f t="shared" si="18"/>
        <v>0.5</v>
      </c>
      <c r="H52" s="56">
        <f t="shared" si="18"/>
        <v>0.25</v>
      </c>
      <c r="I52" s="56">
        <f t="shared" si="18"/>
        <v>0.25</v>
      </c>
      <c r="J52" s="56">
        <f t="shared" si="18"/>
        <v>0</v>
      </c>
      <c r="K52" s="56">
        <f t="shared" si="18"/>
        <v>0.5</v>
      </c>
      <c r="L52" s="56">
        <f t="shared" si="18"/>
        <v>0.5</v>
      </c>
      <c r="M52" s="56">
        <f t="shared" si="18"/>
        <v>0</v>
      </c>
      <c r="N52" s="56">
        <f t="shared" si="18"/>
        <v>0</v>
      </c>
      <c r="O52" s="56">
        <f t="shared" si="18"/>
        <v>0</v>
      </c>
      <c r="P52" s="56">
        <f t="shared" si="18"/>
        <v>0</v>
      </c>
      <c r="Q52" s="56">
        <f t="shared" si="18"/>
        <v>0</v>
      </c>
      <c r="R52" s="56">
        <f t="shared" si="18"/>
        <v>0</v>
      </c>
      <c r="S52" s="56">
        <f t="shared" si="18"/>
        <v>0.75</v>
      </c>
      <c r="T52" s="56">
        <f t="shared" si="18"/>
        <v>0.25</v>
      </c>
      <c r="U52" s="56">
        <f t="shared" si="18"/>
        <v>0</v>
      </c>
      <c r="V52" s="56">
        <f t="shared" si="18"/>
        <v>0</v>
      </c>
      <c r="W52" s="56">
        <f t="shared" si="18"/>
        <v>0</v>
      </c>
      <c r="X52" s="56">
        <f t="shared" si="18"/>
        <v>0</v>
      </c>
      <c r="Y52" s="56">
        <f t="shared" si="18"/>
        <v>0</v>
      </c>
      <c r="Z52" s="56">
        <f t="shared" si="18"/>
        <v>0</v>
      </c>
      <c r="AA52" s="56">
        <f t="shared" si="18"/>
        <v>0.5</v>
      </c>
      <c r="AB52" s="56">
        <f t="shared" si="18"/>
        <v>0</v>
      </c>
      <c r="AC52" s="56">
        <f t="shared" si="18"/>
        <v>0.5</v>
      </c>
      <c r="AD52" s="56">
        <f t="shared" si="18"/>
        <v>0</v>
      </c>
    </row>
    <row r="53" spans="2:30" x14ac:dyDescent="0.25">
      <c r="B53" s="93" t="s">
        <v>98</v>
      </c>
      <c r="C53" s="94">
        <f>C49</f>
        <v>0</v>
      </c>
      <c r="D53" s="94">
        <f t="shared" ref="D53:AD53" si="19">D49</f>
        <v>0</v>
      </c>
      <c r="E53" s="94">
        <f t="shared" si="19"/>
        <v>0</v>
      </c>
      <c r="F53" s="94">
        <f t="shared" si="19"/>
        <v>0.25</v>
      </c>
      <c r="G53" s="94">
        <f t="shared" si="19"/>
        <v>0.75</v>
      </c>
      <c r="H53" s="94">
        <f t="shared" si="19"/>
        <v>0</v>
      </c>
      <c r="I53" s="94">
        <f t="shared" si="19"/>
        <v>0</v>
      </c>
      <c r="J53" s="94">
        <f t="shared" si="19"/>
        <v>0.75</v>
      </c>
      <c r="K53" s="94">
        <f t="shared" si="19"/>
        <v>0.25</v>
      </c>
      <c r="L53" s="94">
        <f t="shared" si="19"/>
        <v>0</v>
      </c>
      <c r="M53" s="94">
        <f t="shared" si="19"/>
        <v>0</v>
      </c>
      <c r="N53" s="94">
        <f t="shared" si="19"/>
        <v>0</v>
      </c>
      <c r="O53" s="94">
        <f t="shared" si="19"/>
        <v>0</v>
      </c>
      <c r="P53" s="94">
        <f t="shared" si="19"/>
        <v>0</v>
      </c>
      <c r="Q53" s="94">
        <f t="shared" si="19"/>
        <v>0</v>
      </c>
      <c r="R53" s="94">
        <f t="shared" si="19"/>
        <v>0</v>
      </c>
      <c r="S53" s="94">
        <f t="shared" si="19"/>
        <v>0.75</v>
      </c>
      <c r="T53" s="94">
        <f t="shared" si="19"/>
        <v>0.25</v>
      </c>
      <c r="U53" s="94">
        <f t="shared" si="19"/>
        <v>0</v>
      </c>
      <c r="V53" s="94">
        <f t="shared" si="19"/>
        <v>0</v>
      </c>
      <c r="W53" s="94">
        <f t="shared" si="19"/>
        <v>0</v>
      </c>
      <c r="X53" s="94">
        <f t="shared" si="19"/>
        <v>0</v>
      </c>
      <c r="Y53" s="94">
        <f t="shared" si="19"/>
        <v>0</v>
      </c>
      <c r="Z53" s="94">
        <f t="shared" si="19"/>
        <v>0.25</v>
      </c>
      <c r="AA53" s="94">
        <f t="shared" si="19"/>
        <v>0.75</v>
      </c>
      <c r="AB53" s="94">
        <f t="shared" si="19"/>
        <v>0</v>
      </c>
      <c r="AC53" s="94">
        <f t="shared" si="19"/>
        <v>0</v>
      </c>
      <c r="AD53" s="94">
        <f t="shared" si="19"/>
        <v>0</v>
      </c>
    </row>
    <row r="54" spans="2:30" ht="15.75" thickBot="1" x14ac:dyDescent="0.3"/>
    <row r="55" spans="2:30" ht="15.75" thickBot="1" x14ac:dyDescent="0.3">
      <c r="C55" s="18"/>
      <c r="D55" s="57" t="s">
        <v>72</v>
      </c>
      <c r="E55" s="58"/>
      <c r="F55" s="58"/>
      <c r="G55" s="58"/>
      <c r="I55" s="81"/>
      <c r="J55" s="15"/>
      <c r="L55" s="62" t="s">
        <v>76</v>
      </c>
      <c r="M55" s="97" t="s">
        <v>77</v>
      </c>
      <c r="N55" s="97" t="s">
        <v>78</v>
      </c>
      <c r="O55" s="97" t="s">
        <v>79</v>
      </c>
      <c r="P55" s="97" t="s">
        <v>80</v>
      </c>
      <c r="Q55" s="97" t="s">
        <v>81</v>
      </c>
      <c r="R55" s="97" t="s">
        <v>82</v>
      </c>
      <c r="S55" s="98" t="s">
        <v>83</v>
      </c>
    </row>
    <row r="56" spans="2:30" ht="15.75" thickBot="1" x14ac:dyDescent="0.3">
      <c r="C56" s="52"/>
      <c r="D56" s="100" t="s">
        <v>5</v>
      </c>
      <c r="E56" s="95" t="s">
        <v>6</v>
      </c>
      <c r="F56" s="95" t="s">
        <v>7</v>
      </c>
      <c r="G56" s="96" t="s">
        <v>8</v>
      </c>
      <c r="I56" s="61"/>
      <c r="J56" s="15"/>
      <c r="L56" s="63" t="s">
        <v>84</v>
      </c>
      <c r="M56" s="64">
        <v>0</v>
      </c>
      <c r="N56" s="64">
        <v>1</v>
      </c>
      <c r="O56" s="64">
        <v>2</v>
      </c>
      <c r="P56" s="64">
        <v>3</v>
      </c>
      <c r="Q56" s="64">
        <v>4</v>
      </c>
      <c r="R56" s="64">
        <v>5</v>
      </c>
      <c r="S56" s="65">
        <v>6</v>
      </c>
    </row>
    <row r="57" spans="2:30" x14ac:dyDescent="0.25">
      <c r="C57" s="50" t="s">
        <v>1</v>
      </c>
      <c r="D57" s="109">
        <f>SUMPRODUCT(C49:I49,$C$41:$I$41)</f>
        <v>3.75</v>
      </c>
      <c r="E57" s="110">
        <f>SUMPRODUCT(J49:P49,$C$41:$I$41)</f>
        <v>0.25</v>
      </c>
      <c r="F57" s="110">
        <f>SUMPRODUCT(Q49:W49,$C$41:$I$41)</f>
        <v>2.25</v>
      </c>
      <c r="G57" s="111">
        <f>SUMPRODUCT(X49:AD49,$C$41:$I$41)</f>
        <v>2.75</v>
      </c>
      <c r="I57" s="81"/>
      <c r="J57" s="15"/>
    </row>
    <row r="58" spans="2:30" x14ac:dyDescent="0.25">
      <c r="C58" s="50" t="s">
        <v>2</v>
      </c>
      <c r="D58" s="59">
        <f>SUMPRODUCT(C50:I50,$C$41:$I$41)</f>
        <v>4.75</v>
      </c>
      <c r="E58" s="108">
        <f>SUMPRODUCT(J50:P50,$C$41:$I$41)</f>
        <v>1.25</v>
      </c>
      <c r="F58" s="108">
        <f>SUMPRODUCT(Q50:W50,$C$41:$I$41)</f>
        <v>0.25</v>
      </c>
      <c r="G58" s="112">
        <f t="shared" ref="G58" si="20">SUMPRODUCT(X50:AD50,$C$41:$I$41)</f>
        <v>5.75</v>
      </c>
      <c r="I58" s="81"/>
      <c r="J58" s="15"/>
    </row>
    <row r="59" spans="2:30" x14ac:dyDescent="0.25">
      <c r="C59" s="50" t="s">
        <v>3</v>
      </c>
      <c r="D59" s="59">
        <f>SUMPRODUCT(C51:I51,$C$41:$I$41)</f>
        <v>5.75</v>
      </c>
      <c r="E59" s="108">
        <f>SUMPRODUCT(J51:P51,$C$41:$I$41)</f>
        <v>2.25</v>
      </c>
      <c r="F59" s="108">
        <f>SUMPRODUCT(Q51:W51,$C$41:$I$41)</f>
        <v>0.75</v>
      </c>
      <c r="G59" s="112">
        <f>SUMPRODUCT(X51:AD51,$C$41:$I$41)</f>
        <v>4.25</v>
      </c>
      <c r="I59" s="81"/>
      <c r="J59" s="15"/>
    </row>
    <row r="60" spans="2:30" x14ac:dyDescent="0.25">
      <c r="C60" s="50" t="s">
        <v>4</v>
      </c>
      <c r="D60" s="59">
        <f>SUMPRODUCT(C52:I52,$C$41:$I$41)</f>
        <v>4.75</v>
      </c>
      <c r="E60" s="108">
        <f>SUMPRODUCT(J52:P52,$C$41:$I$41)</f>
        <v>1.5</v>
      </c>
      <c r="F60" s="108">
        <f>SUMPRODUCT(Q52:W52,$C$41:$I$41)</f>
        <v>2.25</v>
      </c>
      <c r="G60" s="112">
        <f>SUMPRODUCT(X52:AD52,$C$41:$I$41)</f>
        <v>4</v>
      </c>
    </row>
    <row r="61" spans="2:30" ht="15.75" thickBot="1" x14ac:dyDescent="0.3">
      <c r="C61" s="116" t="s">
        <v>98</v>
      </c>
      <c r="D61" s="124">
        <f>SUMPRODUCT(C53:I53,$C$41:$I$41)</f>
        <v>3.75</v>
      </c>
      <c r="E61" s="125">
        <f>SUMPRODUCT(J53:P53,$C$41:$I$41)</f>
        <v>0.25</v>
      </c>
      <c r="F61" s="125">
        <f>SUMPRODUCT(Q53:W53,$C$41:$I$41)</f>
        <v>2.25</v>
      </c>
      <c r="G61" s="126">
        <f>SUMPRODUCT(X53:AD53,$C$41:$I$41)</f>
        <v>2.75</v>
      </c>
    </row>
    <row r="62" spans="2:30" ht="15.75" thickBot="1" x14ac:dyDescent="0.3">
      <c r="C62" s="18"/>
      <c r="D62" s="60">
        <f>COUNTIF(D57:D60,MAX(D57:D60))</f>
        <v>1</v>
      </c>
      <c r="E62" s="60">
        <f t="shared" ref="E62:G62" si="21">COUNTIF(E57:E60,MAX(E57:E60))</f>
        <v>1</v>
      </c>
      <c r="F62" s="60">
        <f t="shared" si="21"/>
        <v>2</v>
      </c>
      <c r="G62" s="60">
        <f t="shared" si="21"/>
        <v>1</v>
      </c>
    </row>
    <row r="63" spans="2:30" x14ac:dyDescent="0.25">
      <c r="C63" s="54"/>
      <c r="D63" s="60">
        <f>COUNTIF(D57:D60,MIN(D57:D60))</f>
        <v>1</v>
      </c>
      <c r="E63" s="60">
        <f t="shared" ref="E63:G63" si="22">COUNTIF(E57:E60,MIN(E57:E60))</f>
        <v>1</v>
      </c>
      <c r="F63" s="60">
        <f t="shared" si="22"/>
        <v>1</v>
      </c>
      <c r="G63" s="60">
        <f t="shared" si="22"/>
        <v>1</v>
      </c>
      <c r="I63" s="83" t="s">
        <v>75</v>
      </c>
      <c r="J63" s="45" t="s">
        <v>5</v>
      </c>
      <c r="K63" s="45" t="s">
        <v>6</v>
      </c>
      <c r="L63" s="45" t="s">
        <v>7</v>
      </c>
      <c r="M63" s="46" t="s">
        <v>8</v>
      </c>
    </row>
    <row r="64" spans="2:30" ht="15.75" thickBot="1" x14ac:dyDescent="0.3">
      <c r="C64" s="57" t="s">
        <v>73</v>
      </c>
      <c r="D64" s="58"/>
      <c r="E64" s="58"/>
      <c r="F64" s="58"/>
      <c r="G64" s="58"/>
      <c r="I64" s="2"/>
      <c r="J64" s="35">
        <v>0.25</v>
      </c>
      <c r="K64" s="35">
        <v>0.25</v>
      </c>
      <c r="L64" s="35">
        <v>0.25</v>
      </c>
      <c r="M64" s="48">
        <v>0.25</v>
      </c>
    </row>
    <row r="65" spans="2:30" ht="15.75" thickBot="1" x14ac:dyDescent="0.3">
      <c r="C65" s="52"/>
      <c r="D65" s="100" t="s">
        <v>5</v>
      </c>
      <c r="E65" s="95" t="s">
        <v>6</v>
      </c>
      <c r="F65" s="95" t="s">
        <v>7</v>
      </c>
      <c r="G65" s="96" t="s">
        <v>8</v>
      </c>
    </row>
    <row r="66" spans="2:30" x14ac:dyDescent="0.25">
      <c r="C66" s="50" t="s">
        <v>1</v>
      </c>
      <c r="D66" s="101">
        <f>SUM(($M$56-D57)^2*C49,($N$56-D57)^2*D49,($O$56-D57)^2*E49,($P$56-D57)^2*F49,($Q$56-D57)^2*G49,($R$56-D57)^2*H49,($S$56-D57)^2*I49)</f>
        <v>0.1875</v>
      </c>
      <c r="E66" s="102">
        <f>SUM(($M$56-E57)^2*J49,($N$56-E57)^2*K49,($O$56-E57)^2*L49,($P$56-E57)^2*M49,($Q$56-E57)^2*N49,($R$56-E57)^2*O49,($S$56-E57)^2*P49)</f>
        <v>0.1875</v>
      </c>
      <c r="F66" s="102">
        <f>SUM(($M$56-F57)^2*Q49,($N$56-F57)^2*R49,($O$56-F57)^2*S49,($P$56-F57)^2*T49,($Q$56-F57)^2*U49,($R$56-F57)^2*V49,($S$56-F57)^2*W49)</f>
        <v>0.1875</v>
      </c>
      <c r="G66" s="103">
        <f>SUM(($M$56-G57)^2*X49,($N$56-G57)^2*Y49,($O$56-G57)^2*Z49,($P$56-G57)^2*AA49,($Q$56-G57)^2*AB49,($R$56-G57)^2*AC49,($S$56-G57)^2*AD49)</f>
        <v>0.1875</v>
      </c>
    </row>
    <row r="67" spans="2:30" x14ac:dyDescent="0.25">
      <c r="C67" s="50" t="s">
        <v>2</v>
      </c>
      <c r="D67" s="56">
        <f>SUM(($M$56-D58)^2*C50,($N$56-D58)^2*D50,($O$56-D58)^2*E50,($P$56-D58)^2*F50,($Q$56-D58)^2*G50,($R$56-D58)^2*H50,($S$56-D58)^2*I50)</f>
        <v>0.1875</v>
      </c>
      <c r="E67" s="99">
        <f>SUM(($M$56-E58)^2*J50,($N$56-E58)^2*K50,($O$56-E58)^2*L50,($P$56-E58)^2*M50,($Q$56-E58)^2*N50,($R$56-E58)^2*O50,($S$56-E58)^2*P50)</f>
        <v>0.1875</v>
      </c>
      <c r="F67" s="99">
        <f>SUM(($M$56-F58)^2*Q50,($N$56-F58)^2*R50,($O$56-F58)^2*S50,($P$56-F58)^2*T50,($Q$56-F58)^2*U50,($R$56-F58)^2*V50,($S$56-F58)^2*W50)</f>
        <v>0.1875</v>
      </c>
      <c r="G67" s="104">
        <f>SUM(($M$56-G58)^2*X50,($N$56-G58)^2*Y50,($O$56-G58)^2*Z50,($P$56-G58)^2*AA50,($Q$56-G58)^2*AB50,($R$56-G58)^2*AC50,($S$56-G58)^2*AD50)</f>
        <v>0.1875</v>
      </c>
    </row>
    <row r="68" spans="2:30" x14ac:dyDescent="0.25">
      <c r="C68" s="50" t="s">
        <v>3</v>
      </c>
      <c r="D68" s="56">
        <f>SUM(($M$56-D59)^2*C51,($N$56-D59)^2*D51,($O$56-D59)^2*E51,($P$56-D59)^2*F51,($Q$56-D59)^2*G51,($R$56-D59)^2*H51,($S$56-D59)^2*I51)</f>
        <v>0.1875</v>
      </c>
      <c r="E68" s="99">
        <f>SUM(($M$56-E59)^2*J51,($N$56-E59)^2*K51,($O$56-E59)^2*L51,($P$56-E59)^2*M51,($Q$56-E59)^2*N51,($R$56-E59)^2*O51,($S$56-E59)^2*P51)</f>
        <v>0.1875</v>
      </c>
      <c r="F68" s="99">
        <f>SUM(($M$56-F59)^2*Q51,($N$56-F59)^2*R51,($O$56-F59)^2*S51,($P$56-F59)^2*T51,($Q$56-F59)^2*U51,($R$56-F59)^2*V51,($S$56-F59)^2*W51)</f>
        <v>0.1875</v>
      </c>
      <c r="G68" s="104">
        <f>SUM(($M$56-G59)^2*X51,($N$56-G59)^2*Y51,($O$56-G59)^2*Z51,($P$56-G59)^2*AA51,($Q$56-G59)^2*AB51,($R$56-G59)^2*AC51,($S$56-G59)^2*AD51)</f>
        <v>0.1875</v>
      </c>
    </row>
    <row r="69" spans="2:30" x14ac:dyDescent="0.25">
      <c r="C69" s="50" t="s">
        <v>4</v>
      </c>
      <c r="D69" s="56">
        <f>SUM(($M$56-D60)^2*C52,($N$56-D60)^2*D52,($O$56-D60)^2*E52,($P$56-D60)^2*F52,($Q$56-D60)^2*G52,($R$56-D60)^2*H52,($S$56-D60)^2*I52)</f>
        <v>0.6875</v>
      </c>
      <c r="E69" s="99">
        <f>SUM(($M$56-E60)^2*J52,($N$56-E60)^2*K52,($O$56-E60)^2*L52,($P$56-E60)^2*M52,($Q$56-E60)^2*N52,($R$56-E60)^2*O52,($S$56-E60)^2*P52)</f>
        <v>0.25</v>
      </c>
      <c r="F69" s="99">
        <f>SUM(($M$56-F60)^2*Q52,($N$56-F60)^2*R52,($O$56-F60)^2*S52,($P$56-F60)^2*T52,($Q$56-F60)^2*U52,($R$56-F60)^2*V52,($S$56-F60)^2*W52)</f>
        <v>0.1875</v>
      </c>
      <c r="G69" s="104">
        <f>SUM(($M$56-G60)^2*X52,($N$56-G60)^2*Y52,($O$56-G60)^2*Z52,($P$56-G60)^2*AA52,($Q$56-G60)^2*AB52,($R$56-G60)^2*AC52,($S$56-G60)^2*AD52)</f>
        <v>1</v>
      </c>
    </row>
    <row r="70" spans="2:30" ht="15.75" thickBot="1" x14ac:dyDescent="0.3">
      <c r="C70" s="116" t="s">
        <v>98</v>
      </c>
      <c r="D70" s="121">
        <f>SUM(($M$56-D61)^2*C53,($N$56-D61)^2*D53,($O$56-D61)^2*E53,($P$56-D61)^2*F53,($Q$56-D61)^2*G53,($R$56-D61)^2*H53,($S$56-D61)^2*I53)</f>
        <v>0.1875</v>
      </c>
      <c r="E70" s="122">
        <f>SUM(($M$56-E61)^2*J53,($N$56-E61)^2*K53,($O$56-E61)^2*L53,($P$56-E61)^2*M53,($Q$56-E61)^2*N53,($R$56-E61)^2*O53,($S$56-E61)^2*P53)</f>
        <v>0.1875</v>
      </c>
      <c r="F70" s="122">
        <f>SUM(($M$56-F61)^2*Q53,($N$56-F61)^2*R53,($O$56-F61)^2*S53,($P$56-F61)^2*T53,($Q$56-F61)^2*U53,($R$56-F61)^2*V53,($S$56-F61)^2*W53)</f>
        <v>0.1875</v>
      </c>
      <c r="G70" s="123">
        <f>SUM(($M$56-G61)^2*X53,($N$56-G61)^2*Y53,($O$56-G61)^2*Z53,($P$56-G61)^2*AA53,($Q$56-G61)^2*AB53,($R$56-G61)^2*AC53,($S$56-G61)^2*AD53)</f>
        <v>0.1875</v>
      </c>
    </row>
    <row r="71" spans="2:30" ht="15.75" thickBot="1" x14ac:dyDescent="0.3"/>
    <row r="72" spans="2:30" ht="15.75" thickBot="1" x14ac:dyDescent="0.3">
      <c r="B72" s="66" t="s">
        <v>85</v>
      </c>
      <c r="C72" s="134" t="s">
        <v>5</v>
      </c>
      <c r="D72" s="134"/>
      <c r="E72" s="134"/>
      <c r="F72" s="134"/>
      <c r="G72" s="134"/>
      <c r="H72" s="134"/>
      <c r="I72" s="134"/>
      <c r="J72" s="134" t="s">
        <v>6</v>
      </c>
      <c r="K72" s="134"/>
      <c r="L72" s="134"/>
      <c r="M72" s="134"/>
      <c r="N72" s="134"/>
      <c r="O72" s="134"/>
      <c r="P72" s="134"/>
      <c r="Q72" s="134" t="s">
        <v>7</v>
      </c>
      <c r="R72" s="134"/>
      <c r="S72" s="134"/>
      <c r="T72" s="134"/>
      <c r="U72" s="134"/>
      <c r="V72" s="134"/>
      <c r="W72" s="134"/>
      <c r="X72" s="136" t="s">
        <v>8</v>
      </c>
      <c r="Y72" s="137"/>
      <c r="Z72" s="137"/>
      <c r="AA72" s="137"/>
      <c r="AB72" s="137"/>
      <c r="AC72" s="137"/>
      <c r="AD72" s="138"/>
    </row>
    <row r="73" spans="2:30" x14ac:dyDescent="0.25">
      <c r="B73" s="67" t="s">
        <v>86</v>
      </c>
      <c r="C73" s="71">
        <f>C51</f>
        <v>0</v>
      </c>
      <c r="D73" s="84">
        <f t="shared" ref="D73:I73" si="23">D51</f>
        <v>0</v>
      </c>
      <c r="E73" s="84">
        <f t="shared" si="23"/>
        <v>0</v>
      </c>
      <c r="F73" s="84">
        <f t="shared" si="23"/>
        <v>0</v>
      </c>
      <c r="G73" s="84">
        <f t="shared" si="23"/>
        <v>0</v>
      </c>
      <c r="H73" s="84">
        <f t="shared" si="23"/>
        <v>0.25</v>
      </c>
      <c r="I73" s="84">
        <f t="shared" si="23"/>
        <v>0.75</v>
      </c>
      <c r="J73" s="84">
        <f>J51</f>
        <v>0</v>
      </c>
      <c r="K73" s="84">
        <f t="shared" ref="K73:P73" si="24">K51</f>
        <v>0</v>
      </c>
      <c r="L73" s="84">
        <f t="shared" si="24"/>
        <v>0.75</v>
      </c>
      <c r="M73" s="84">
        <f t="shared" si="24"/>
        <v>0.25</v>
      </c>
      <c r="N73" s="84">
        <f t="shared" si="24"/>
        <v>0</v>
      </c>
      <c r="O73" s="84">
        <f t="shared" si="24"/>
        <v>0</v>
      </c>
      <c r="P73" s="84">
        <f t="shared" si="24"/>
        <v>0</v>
      </c>
      <c r="Q73" s="84">
        <f t="shared" ref="Q73:W74" si="25">Q49</f>
        <v>0</v>
      </c>
      <c r="R73" s="84">
        <f t="shared" si="25"/>
        <v>0</v>
      </c>
      <c r="S73" s="84">
        <f t="shared" si="25"/>
        <v>0.75</v>
      </c>
      <c r="T73" s="84">
        <f t="shared" si="25"/>
        <v>0.25</v>
      </c>
      <c r="U73" s="84">
        <f t="shared" si="25"/>
        <v>0</v>
      </c>
      <c r="V73" s="84">
        <f t="shared" si="25"/>
        <v>0</v>
      </c>
      <c r="W73" s="84">
        <f t="shared" si="25"/>
        <v>0</v>
      </c>
      <c r="X73" s="84">
        <f>X50</f>
        <v>0</v>
      </c>
      <c r="Y73" s="84">
        <f t="shared" ref="Y73:AD73" si="26">Y50</f>
        <v>0</v>
      </c>
      <c r="Z73" s="84">
        <f t="shared" si="26"/>
        <v>0</v>
      </c>
      <c r="AA73" s="84">
        <f t="shared" si="26"/>
        <v>0</v>
      </c>
      <c r="AB73" s="84">
        <f t="shared" si="26"/>
        <v>0</v>
      </c>
      <c r="AC73" s="84">
        <f t="shared" si="26"/>
        <v>0.25</v>
      </c>
      <c r="AD73" s="85">
        <f t="shared" si="26"/>
        <v>0.75</v>
      </c>
    </row>
    <row r="74" spans="2:30" ht="15.75" thickBot="1" x14ac:dyDescent="0.3">
      <c r="B74" s="68" t="s">
        <v>87</v>
      </c>
      <c r="C74" s="72">
        <f>C49</f>
        <v>0</v>
      </c>
      <c r="D74" s="86">
        <f t="shared" ref="D74:I74" si="27">D49</f>
        <v>0</v>
      </c>
      <c r="E74" s="86">
        <f t="shared" si="27"/>
        <v>0</v>
      </c>
      <c r="F74" s="86">
        <f t="shared" si="27"/>
        <v>0.25</v>
      </c>
      <c r="G74" s="86">
        <f t="shared" si="27"/>
        <v>0.75</v>
      </c>
      <c r="H74" s="86">
        <f t="shared" si="27"/>
        <v>0</v>
      </c>
      <c r="I74" s="86">
        <f t="shared" si="27"/>
        <v>0</v>
      </c>
      <c r="J74" s="86">
        <f>J49</f>
        <v>0.75</v>
      </c>
      <c r="K74" s="86">
        <f t="shared" ref="K74:P74" si="28">K49</f>
        <v>0.25</v>
      </c>
      <c r="L74" s="86">
        <f t="shared" si="28"/>
        <v>0</v>
      </c>
      <c r="M74" s="86">
        <f t="shared" si="28"/>
        <v>0</v>
      </c>
      <c r="N74" s="86">
        <f t="shared" si="28"/>
        <v>0</v>
      </c>
      <c r="O74" s="86">
        <f t="shared" si="28"/>
        <v>0</v>
      </c>
      <c r="P74" s="86">
        <f t="shared" si="28"/>
        <v>0</v>
      </c>
      <c r="Q74" s="86">
        <f t="shared" si="25"/>
        <v>0.75</v>
      </c>
      <c r="R74" s="86">
        <f t="shared" si="25"/>
        <v>0.25</v>
      </c>
      <c r="S74" s="86">
        <f t="shared" si="25"/>
        <v>0</v>
      </c>
      <c r="T74" s="86">
        <f t="shared" si="25"/>
        <v>0</v>
      </c>
      <c r="U74" s="86">
        <f t="shared" si="25"/>
        <v>0</v>
      </c>
      <c r="V74" s="86">
        <f t="shared" si="25"/>
        <v>0</v>
      </c>
      <c r="W74" s="86">
        <f t="shared" si="25"/>
        <v>0</v>
      </c>
      <c r="X74" s="86">
        <f>X49</f>
        <v>0</v>
      </c>
      <c r="Y74" s="86">
        <f t="shared" ref="Y74:AD74" si="29">Y49</f>
        <v>0</v>
      </c>
      <c r="Z74" s="86">
        <f t="shared" si="29"/>
        <v>0.25</v>
      </c>
      <c r="AA74" s="86">
        <f t="shared" si="29"/>
        <v>0.75</v>
      </c>
      <c r="AB74" s="86">
        <f t="shared" si="29"/>
        <v>0</v>
      </c>
      <c r="AC74" s="86">
        <f t="shared" si="29"/>
        <v>0</v>
      </c>
      <c r="AD74" s="87">
        <f t="shared" si="29"/>
        <v>0</v>
      </c>
    </row>
    <row r="75" spans="2:30" ht="15.75" thickBot="1" x14ac:dyDescent="0.3"/>
    <row r="76" spans="2:30" ht="15.75" thickBot="1" x14ac:dyDescent="0.3">
      <c r="B76" s="73" t="s">
        <v>88</v>
      </c>
      <c r="C76" s="78" t="s">
        <v>5</v>
      </c>
      <c r="D76" s="78" t="s">
        <v>6</v>
      </c>
      <c r="E76" s="78" t="s">
        <v>7</v>
      </c>
      <c r="F76" s="80" t="s">
        <v>8</v>
      </c>
      <c r="G76" s="82"/>
      <c r="I76" s="73" t="s">
        <v>90</v>
      </c>
      <c r="J76" s="78" t="s">
        <v>5</v>
      </c>
      <c r="K76" s="78" t="s">
        <v>6</v>
      </c>
      <c r="L76" s="78" t="s">
        <v>7</v>
      </c>
      <c r="M76" s="78" t="s">
        <v>8</v>
      </c>
      <c r="N76" s="79" t="s">
        <v>89</v>
      </c>
    </row>
    <row r="77" spans="2:30" x14ac:dyDescent="0.25">
      <c r="B77" s="74" t="s">
        <v>1</v>
      </c>
      <c r="C77" s="28">
        <f>(1/7)*ABS(SUMPRODUCT($M$56:$S$56,$C$73:$I$73)-SUMPRODUCT($M$56:$S$56,C49:I49))</f>
        <v>0.2857142857142857</v>
      </c>
      <c r="D77" s="45">
        <f>(1/7)*ABS(SUMPRODUCT($M$56:$S$56,$J$73:$P$73)-SUMPRODUCT($M$56:$S$56,J49:P49))</f>
        <v>0.2857142857142857</v>
      </c>
      <c r="E77" s="45">
        <f>(1/7)*ABS(SUMPRODUCT($M$56:$S$56,$Q$73:$W$73)-SUMPRODUCT($M$56:$S$56,Q49:W49))</f>
        <v>0</v>
      </c>
      <c r="F77" s="46">
        <f>(1/7)*ABS(SUMPRODUCT($M$56:$S$56,$X$73:$AD$73)-SUMPRODUCT($M$56:$S$56,X49:AD49))</f>
        <v>0.42857142857142855</v>
      </c>
      <c r="G77" s="15"/>
      <c r="I77" s="74" t="s">
        <v>1</v>
      </c>
      <c r="J77" s="28">
        <f>C77^2</f>
        <v>8.1632653061224483E-2</v>
      </c>
      <c r="K77" s="45">
        <f t="shared" ref="K77:M81" si="30">D77^2</f>
        <v>8.1632653061224483E-2</v>
      </c>
      <c r="L77" s="45">
        <f t="shared" si="30"/>
        <v>0</v>
      </c>
      <c r="M77" s="45">
        <f t="shared" si="30"/>
        <v>0.18367346938775508</v>
      </c>
      <c r="N77" s="46">
        <f>(SUMPRODUCT($J$64:$M$64,J77:M77))^(1/2)</f>
        <v>0.29450754468697571</v>
      </c>
    </row>
    <row r="78" spans="2:30" x14ac:dyDescent="0.25">
      <c r="B78" s="74" t="s">
        <v>2</v>
      </c>
      <c r="C78" s="1">
        <f>(1/7)*ABS(SUMPRODUCT($M$56:$S$56,$C$73:$I$73)-SUMPRODUCT($M$56:$S$56,C50:I50))</f>
        <v>0.14285714285714285</v>
      </c>
      <c r="D78" s="17">
        <f>(1/7)*ABS(SUMPRODUCT($M$56:$S$56,$J$73:$P$73)-SUMPRODUCT($M$56:$S$56,J50:P50))</f>
        <v>0.14285714285714285</v>
      </c>
      <c r="E78" s="17">
        <f>(1/7)*ABS(SUMPRODUCT($M$56:$S$56,$Q$73:$W$73)-SUMPRODUCT($M$56:$S$56,Q50:W50))</f>
        <v>0.2857142857142857</v>
      </c>
      <c r="F78" s="47">
        <f>(1/7)*ABS(SUMPRODUCT($M$56:$S$56,$X$73:$AD$73)-SUMPRODUCT($M$56:$S$56,X50:AD50))</f>
        <v>0</v>
      </c>
      <c r="G78" s="15"/>
      <c r="I78" s="74" t="s">
        <v>2</v>
      </c>
      <c r="J78" s="1">
        <f t="shared" ref="J78:J81" si="31">C78^2</f>
        <v>2.0408163265306121E-2</v>
      </c>
      <c r="K78" s="17">
        <f t="shared" si="30"/>
        <v>2.0408163265306121E-2</v>
      </c>
      <c r="L78" s="17">
        <f t="shared" si="30"/>
        <v>8.1632653061224483E-2</v>
      </c>
      <c r="M78" s="17">
        <f t="shared" si="30"/>
        <v>0</v>
      </c>
      <c r="N78" s="47">
        <f t="shared" ref="N78:N81" si="32">(SUMPRODUCT($J$64:$M$64,J78:M78))^(1/2)</f>
        <v>0.1749635530559413</v>
      </c>
    </row>
    <row r="79" spans="2:30" x14ac:dyDescent="0.25">
      <c r="B79" s="74" t="s">
        <v>3</v>
      </c>
      <c r="C79" s="1">
        <f>(1/7)*ABS(SUMPRODUCT($M$56:$S$56,$C$73:$I$73)-SUMPRODUCT($M$56:$S$56,C51:I51))</f>
        <v>0</v>
      </c>
      <c r="D79" s="17">
        <f>(1/7)*ABS(SUMPRODUCT($M$56:$S$56,$J$73:$P$73)-SUMPRODUCT($M$56:$S$56,J51:P51))</f>
        <v>0</v>
      </c>
      <c r="E79" s="17">
        <f>(1/7)*ABS(SUMPRODUCT($M$56:$S$56,$Q$73:$W$73)-SUMPRODUCT($M$56:$S$56,Q51:W51))</f>
        <v>0.21428571428571427</v>
      </c>
      <c r="F79" s="47">
        <f>(1/7)*ABS(SUMPRODUCT($M$56:$S$56,$X$73:$AD$73)-SUMPRODUCT($M$56:$S$56,X51:AD51))</f>
        <v>0.21428571428571427</v>
      </c>
      <c r="G79" s="15"/>
      <c r="I79" s="74" t="s">
        <v>3</v>
      </c>
      <c r="J79" s="1">
        <f t="shared" si="31"/>
        <v>0</v>
      </c>
      <c r="K79" s="17">
        <f t="shared" si="30"/>
        <v>0</v>
      </c>
      <c r="L79" s="17">
        <f t="shared" si="30"/>
        <v>4.5918367346938771E-2</v>
      </c>
      <c r="M79" s="17">
        <f t="shared" si="30"/>
        <v>4.5918367346938771E-2</v>
      </c>
      <c r="N79" s="47">
        <f t="shared" si="32"/>
        <v>0.15152288168283159</v>
      </c>
    </row>
    <row r="80" spans="2:30" x14ac:dyDescent="0.25">
      <c r="B80" s="88" t="s">
        <v>4</v>
      </c>
      <c r="C80" s="89">
        <f>(1/7)*ABS(SUMPRODUCT($M$56:$S$56,$C$73:$I$73)-SUMPRODUCT($M$56:$S$56,C52:I52))</f>
        <v>0.14285714285714285</v>
      </c>
      <c r="D80" s="90">
        <f>(1/7)*ABS(SUMPRODUCT($M$56:$S$56,$J$73:$P$73)-SUMPRODUCT($M$56:$S$56,J52:P52))</f>
        <v>0.10714285714285714</v>
      </c>
      <c r="E80" s="90">
        <f>(1/7)*ABS(SUMPRODUCT($M$56:$S$56,$Q$73:$W$73)-SUMPRODUCT($M$56:$S$56,Q52:W52))</f>
        <v>0</v>
      </c>
      <c r="F80" s="91">
        <f>(1/7)*ABS(SUMPRODUCT($M$56:$S$56,$X$73:$AD$73)-SUMPRODUCT($M$56:$S$56,X52:AD52))</f>
        <v>0.25</v>
      </c>
      <c r="G80" s="15"/>
      <c r="I80" s="88" t="s">
        <v>4</v>
      </c>
      <c r="J80" s="89">
        <f t="shared" si="31"/>
        <v>2.0408163265306121E-2</v>
      </c>
      <c r="K80" s="90">
        <f t="shared" si="30"/>
        <v>1.1479591836734693E-2</v>
      </c>
      <c r="L80" s="90">
        <f t="shared" si="30"/>
        <v>0</v>
      </c>
      <c r="M80" s="90">
        <f t="shared" si="30"/>
        <v>6.25E-2</v>
      </c>
      <c r="N80" s="91">
        <f t="shared" si="32"/>
        <v>0.15361295119718976</v>
      </c>
    </row>
    <row r="81" spans="2:14" ht="15.75" thickBot="1" x14ac:dyDescent="0.3">
      <c r="B81" s="92" t="s">
        <v>98</v>
      </c>
      <c r="C81" s="117">
        <f>(1/7)*ABS(SUMPRODUCT($M$56:$S$56,$C$73:$I$73)-SUMPRODUCT($M$56:$S$56,C53:I53))</f>
        <v>0.2857142857142857</v>
      </c>
      <c r="D81" s="118">
        <f>(1/7)*ABS(SUMPRODUCT($M$56:$S$56,$J$73:$P$73)-SUMPRODUCT($M$56:$S$56,J53:P53))</f>
        <v>0.2857142857142857</v>
      </c>
      <c r="E81" s="118">
        <f>(1/7)*ABS(SUMPRODUCT($M$56:$S$56,$Q$73:$W$73)-SUMPRODUCT($M$56:$S$56,Q53:W53))</f>
        <v>0</v>
      </c>
      <c r="F81" s="119">
        <f>(1/7)*ABS(SUMPRODUCT($M$56:$S$56,$X$73:$AD$73)-SUMPRODUCT($M$56:$S$56,X53:AD53))</f>
        <v>0.42857142857142855</v>
      </c>
      <c r="G81" s="15"/>
      <c r="I81" s="92" t="s">
        <v>98</v>
      </c>
      <c r="J81" s="117">
        <f t="shared" si="31"/>
        <v>8.1632653061224483E-2</v>
      </c>
      <c r="K81" s="118">
        <f t="shared" si="30"/>
        <v>8.1632653061224483E-2</v>
      </c>
      <c r="L81" s="118">
        <f t="shared" si="30"/>
        <v>0</v>
      </c>
      <c r="M81" s="118">
        <f t="shared" si="30"/>
        <v>0.18367346938775508</v>
      </c>
      <c r="N81" s="119">
        <f t="shared" si="32"/>
        <v>0.29450754468697571</v>
      </c>
    </row>
    <row r="82" spans="2:14" ht="15.75" thickBot="1" x14ac:dyDescent="0.3"/>
    <row r="83" spans="2:14" ht="15.75" thickBot="1" x14ac:dyDescent="0.3">
      <c r="B83" s="73" t="s">
        <v>91</v>
      </c>
      <c r="C83" s="78" t="s">
        <v>5</v>
      </c>
      <c r="D83" s="78" t="s">
        <v>6</v>
      </c>
      <c r="E83" s="78" t="s">
        <v>7</v>
      </c>
      <c r="F83" s="80" t="s">
        <v>8</v>
      </c>
      <c r="G83" s="82"/>
      <c r="I83" s="73" t="s">
        <v>92</v>
      </c>
      <c r="J83" s="78" t="s">
        <v>5</v>
      </c>
      <c r="K83" s="78" t="s">
        <v>6</v>
      </c>
      <c r="L83" s="78" t="s">
        <v>7</v>
      </c>
      <c r="M83" s="78" t="s">
        <v>8</v>
      </c>
      <c r="N83" s="79" t="s">
        <v>89</v>
      </c>
    </row>
    <row r="84" spans="2:14" x14ac:dyDescent="0.25">
      <c r="B84" s="74" t="s">
        <v>1</v>
      </c>
      <c r="C84" s="28">
        <f>(1/7)*ABS(SUMPRODUCT($M$56:$S$56,$C$74:$I$74)-SUMPRODUCT($M$56:$S$56,C49:I49))</f>
        <v>0</v>
      </c>
      <c r="D84" s="45">
        <f>(1/7)*ABS(SUMPRODUCT($M$56:$S$56,$J$74:$P$74)-SUMPRODUCT($M$56:$S$56,J49:P49))</f>
        <v>0</v>
      </c>
      <c r="E84" s="45">
        <f>(1/7)*ABS(SUMPRODUCT($M$56:$S$56,$Q$74:$W$74)-SUMPRODUCT($M$56:$S$56,Q49:W49))</f>
        <v>0.2857142857142857</v>
      </c>
      <c r="F84" s="46">
        <f>(1/7)*ABS(SUMPRODUCT($M$56:$S$56,$X$74:$AD$74)-SUMPRODUCT($M$56:$S$56,X49:AD49))</f>
        <v>0</v>
      </c>
      <c r="G84" s="15"/>
      <c r="I84" s="74" t="s">
        <v>1</v>
      </c>
      <c r="J84" s="28">
        <f>C84^2</f>
        <v>0</v>
      </c>
      <c r="K84" s="45">
        <f t="shared" ref="K84:M88" si="33">D84^2</f>
        <v>0</v>
      </c>
      <c r="L84" s="45">
        <f t="shared" si="33"/>
        <v>8.1632653061224483E-2</v>
      </c>
      <c r="M84" s="45">
        <f t="shared" si="33"/>
        <v>0</v>
      </c>
      <c r="N84" s="46">
        <f>(SUMPRODUCT($J$64:$M$64,J84:M84))^(1/2)</f>
        <v>0.14285714285714285</v>
      </c>
    </row>
    <row r="85" spans="2:14" x14ac:dyDescent="0.25">
      <c r="B85" s="74" t="s">
        <v>2</v>
      </c>
      <c r="C85" s="1">
        <f>(1/7)*ABS(SUMPRODUCT($M$56:$S$56,$C$74:$I$74)-SUMPRODUCT($M$56:$S$56,C50:I50))</f>
        <v>0.14285714285714285</v>
      </c>
      <c r="D85" s="17">
        <f>(1/7)*ABS(SUMPRODUCT($M$56:$S$56,$J$74:$P$74)-SUMPRODUCT($M$56:$S$56,J50:P50))</f>
        <v>0.14285714285714285</v>
      </c>
      <c r="E85" s="17">
        <f>(1/7)*ABS(SUMPRODUCT($M$56:$S$56,$Q$74:$W$74)-SUMPRODUCT($M$56:$S$56,Q50:W50))</f>
        <v>0</v>
      </c>
      <c r="F85" s="47">
        <f>(1/7)*ABS(SUMPRODUCT($M$56:$S$56,$X$74:$AD$74)-SUMPRODUCT($M$56:$S$56,X50:AD50))</f>
        <v>0.42857142857142855</v>
      </c>
      <c r="G85" s="15"/>
      <c r="I85" s="74" t="s">
        <v>2</v>
      </c>
      <c r="J85" s="1">
        <f t="shared" ref="J85:J88" si="34">C85^2</f>
        <v>2.0408163265306121E-2</v>
      </c>
      <c r="K85" s="17">
        <f t="shared" si="33"/>
        <v>2.0408163265306121E-2</v>
      </c>
      <c r="L85" s="17">
        <f t="shared" si="33"/>
        <v>0</v>
      </c>
      <c r="M85" s="17">
        <f t="shared" si="33"/>
        <v>0.18367346938775508</v>
      </c>
      <c r="N85" s="47">
        <f t="shared" ref="N85:N88" si="35">(SUMPRODUCT($J$64:$M$64,J85:M85))^(1/2)</f>
        <v>0.23690177073967139</v>
      </c>
    </row>
    <row r="86" spans="2:14" x14ac:dyDescent="0.25">
      <c r="B86" s="74" t="s">
        <v>3</v>
      </c>
      <c r="C86" s="1">
        <f>(1/7)*ABS(SUMPRODUCT($M$56:$S$56,$C$74:$I$74)-SUMPRODUCT($M$56:$S$56,C51:I51))</f>
        <v>0.2857142857142857</v>
      </c>
      <c r="D86" s="17">
        <f>(1/7)*ABS(SUMPRODUCT($M$56:$S$56,$J$74:$P$74)-SUMPRODUCT($M$56:$S$56,J51:P51))</f>
        <v>0.2857142857142857</v>
      </c>
      <c r="E86" s="17">
        <f>(1/7)*ABS(SUMPRODUCT($M$56:$S$56,$Q$74:$W$74)-SUMPRODUCT($M$56:$S$56,Q51:W51))</f>
        <v>7.1428571428571425E-2</v>
      </c>
      <c r="F86" s="47">
        <f>(1/7)*ABS(SUMPRODUCT($M$56:$S$56,$X$74:$AD$74)-SUMPRODUCT($M$56:$S$56,X51:AD51))</f>
        <v>0.21428571428571427</v>
      </c>
      <c r="G86" s="15"/>
      <c r="I86" s="74" t="s">
        <v>3</v>
      </c>
      <c r="J86" s="1">
        <f t="shared" si="34"/>
        <v>8.1632653061224483E-2</v>
      </c>
      <c r="K86" s="17">
        <f t="shared" si="33"/>
        <v>8.1632653061224483E-2</v>
      </c>
      <c r="L86" s="17">
        <f t="shared" si="33"/>
        <v>5.1020408163265302E-3</v>
      </c>
      <c r="M86" s="17">
        <f t="shared" si="33"/>
        <v>4.5918367346938771E-2</v>
      </c>
      <c r="N86" s="47">
        <f t="shared" si="35"/>
        <v>0.23145502494313785</v>
      </c>
    </row>
    <row r="87" spans="2:14" x14ac:dyDescent="0.25">
      <c r="B87" s="88" t="s">
        <v>4</v>
      </c>
      <c r="C87" s="1">
        <f>(1/7)*ABS(SUMPRODUCT($M$56:$S$56,$C$74:$I$74)-SUMPRODUCT($M$56:$S$56,C52:I52))</f>
        <v>0.14285714285714285</v>
      </c>
      <c r="D87" s="17">
        <f>(1/7)*ABS(SUMPRODUCT($M$56:$S$56,$J$74:$P$74)-SUMPRODUCT($M$56:$S$56,J52:P52))</f>
        <v>0.17857142857142855</v>
      </c>
      <c r="E87" s="17">
        <f>(1/7)*ABS(SUMPRODUCT($M$56:$S$56,$Q$74:$W$74)-SUMPRODUCT($M$56:$S$56,Q52:W52))</f>
        <v>0.2857142857142857</v>
      </c>
      <c r="F87" s="47">
        <f>(1/7)*ABS(SUMPRODUCT($M$56:$S$56,$X$74:$AD$74)-SUMPRODUCT($M$56:$S$56,X52:AD52))</f>
        <v>0.17857142857142855</v>
      </c>
      <c r="G87" s="15"/>
      <c r="I87" s="88" t="s">
        <v>4</v>
      </c>
      <c r="J87" s="89">
        <f t="shared" si="34"/>
        <v>2.0408163265306121E-2</v>
      </c>
      <c r="K87" s="90">
        <f t="shared" si="33"/>
        <v>3.188775510204081E-2</v>
      </c>
      <c r="L87" s="90">
        <f t="shared" si="33"/>
        <v>8.1632653061224483E-2</v>
      </c>
      <c r="M87" s="90">
        <f t="shared" si="33"/>
        <v>3.188775510204081E-2</v>
      </c>
      <c r="N87" s="91">
        <f t="shared" si="35"/>
        <v>0.20360275448198889</v>
      </c>
    </row>
    <row r="88" spans="2:14" ht="15.75" thickBot="1" x14ac:dyDescent="0.3">
      <c r="B88" s="120" t="s">
        <v>98</v>
      </c>
      <c r="C88" s="117">
        <f>(1/7)*ABS(SUMPRODUCT($M$56:$S$56,$C$74:$I$74)-SUMPRODUCT($M$56:$S$56,C53:I53))</f>
        <v>0</v>
      </c>
      <c r="D88" s="118">
        <f>(1/7)*ABS(SUMPRODUCT($M$56:$S$56,$J$74:$P$74)-SUMPRODUCT($M$56:$S$56,J53:P53))</f>
        <v>0</v>
      </c>
      <c r="E88" s="118">
        <f>(1/7)*ABS(SUMPRODUCT($M$56:$S$56,$Q$74:$W$74)-SUMPRODUCT($M$56:$S$56,Q53:W53))</f>
        <v>0.2857142857142857</v>
      </c>
      <c r="F88" s="119">
        <f>(1/7)*ABS(SUMPRODUCT($M$56:$S$56,$X$74:$AD$74)-SUMPRODUCT($M$56:$S$56,X53:AD53))</f>
        <v>0</v>
      </c>
      <c r="G88" s="15"/>
      <c r="I88" s="92" t="s">
        <v>98</v>
      </c>
      <c r="J88" s="117">
        <f t="shared" si="34"/>
        <v>0</v>
      </c>
      <c r="K88" s="118">
        <f t="shared" si="33"/>
        <v>0</v>
      </c>
      <c r="L88" s="118">
        <f t="shared" si="33"/>
        <v>8.1632653061224483E-2</v>
      </c>
      <c r="M88" s="118">
        <f t="shared" si="33"/>
        <v>0</v>
      </c>
      <c r="N88" s="119">
        <f t="shared" si="35"/>
        <v>0.14285714285714285</v>
      </c>
    </row>
    <row r="90" spans="2:14" ht="15.75" thickBot="1" x14ac:dyDescent="0.3"/>
    <row r="91" spans="2:14" ht="15.75" thickBot="1" x14ac:dyDescent="0.3">
      <c r="B91" s="73" t="s">
        <v>93</v>
      </c>
      <c r="C91" s="76" t="s">
        <v>94</v>
      </c>
      <c r="D91" s="77" t="s">
        <v>95</v>
      </c>
    </row>
    <row r="92" spans="2:14" x14ac:dyDescent="0.25">
      <c r="B92" s="74" t="s">
        <v>1</v>
      </c>
      <c r="C92" s="28">
        <f>(N84)/(N77+N84)</f>
        <v>0.32663163471040935</v>
      </c>
      <c r="D92" s="46">
        <f>RANK(C92,$C$92:$C$96)</f>
        <v>4</v>
      </c>
    </row>
    <row r="93" spans="2:14" x14ac:dyDescent="0.25">
      <c r="B93" s="74" t="s">
        <v>2</v>
      </c>
      <c r="C93" s="1">
        <f>(N85)/(N78+N85)</f>
        <v>0.57519231907280788</v>
      </c>
      <c r="D93" s="47">
        <f t="shared" ref="D93:D96" si="36">RANK(C93,$C$92:$C$96)</f>
        <v>2</v>
      </c>
    </row>
    <row r="94" spans="2:14" x14ac:dyDescent="0.25">
      <c r="B94" s="74" t="s">
        <v>3</v>
      </c>
      <c r="C94" s="1">
        <f>(N86)/(N79+N86)</f>
        <v>0.60435607626104004</v>
      </c>
      <c r="D94" s="47">
        <f t="shared" si="36"/>
        <v>1</v>
      </c>
    </row>
    <row r="95" spans="2:14" x14ac:dyDescent="0.25">
      <c r="B95" s="88" t="s">
        <v>4</v>
      </c>
      <c r="C95" s="1">
        <f>(N87)/(N80+N87)</f>
        <v>0.56997145210868161</v>
      </c>
      <c r="D95" s="47">
        <f t="shared" si="36"/>
        <v>3</v>
      </c>
    </row>
    <row r="96" spans="2:14" ht="15.75" thickBot="1" x14ac:dyDescent="0.3">
      <c r="B96" s="120" t="s">
        <v>98</v>
      </c>
      <c r="C96" s="117">
        <f>(N88)/(N81+N88)</f>
        <v>0.32663163471040935</v>
      </c>
      <c r="D96" s="119">
        <f t="shared" si="36"/>
        <v>4</v>
      </c>
    </row>
  </sheetData>
  <mergeCells count="26">
    <mergeCell ref="C48:I48"/>
    <mergeCell ref="J48:P48"/>
    <mergeCell ref="Q48:W48"/>
    <mergeCell ref="X48:AD48"/>
    <mergeCell ref="C72:I72"/>
    <mergeCell ref="J72:P72"/>
    <mergeCell ref="Q72:W72"/>
    <mergeCell ref="X72:AD72"/>
    <mergeCell ref="C35:I35"/>
    <mergeCell ref="J35:P35"/>
    <mergeCell ref="Q35:W35"/>
    <mergeCell ref="X35:AD35"/>
    <mergeCell ref="C42:I42"/>
    <mergeCell ref="J42:P42"/>
    <mergeCell ref="Q42:W42"/>
    <mergeCell ref="X42:AD42"/>
    <mergeCell ref="B2:B3"/>
    <mergeCell ref="C2:D2"/>
    <mergeCell ref="E2:F2"/>
    <mergeCell ref="G2:H2"/>
    <mergeCell ref="I2:J2"/>
    <mergeCell ref="B9:B10"/>
    <mergeCell ref="C9:D9"/>
    <mergeCell ref="E9:F9"/>
    <mergeCell ref="G9:H9"/>
    <mergeCell ref="I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Julgamentos DMs</vt:lpstr>
      <vt:lpstr>Método</vt:lpstr>
      <vt:lpstr>Método A+</vt:lpstr>
      <vt:lpstr>Método A-</vt:lpstr>
      <vt:lpstr>Método A3</vt:lpstr>
      <vt:lpstr>Método 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2019-06-03T17:51:42Z</dcterms:created>
  <dcterms:modified xsi:type="dcterms:W3CDTF">2022-07-27T07:44:21Z</dcterms:modified>
</cp:coreProperties>
</file>